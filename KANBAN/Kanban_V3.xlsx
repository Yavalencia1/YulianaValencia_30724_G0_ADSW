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hPC\Documents\Universidad\Analisis y Diseño\Unidad 3\Ultimo Github\YulianaValencia_30724_G4_ADSW\KANBAN\"/>
    </mc:Choice>
  </mc:AlternateContent>
  <xr:revisionPtr revIDLastSave="0" documentId="8_{23FF2E0B-31AC-4A12-BD09-B9F95A0D4AEC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H18" i="2"/>
  <c r="F2" i="3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4" i="5" l="1" a="1"/>
  <c r="D34" i="5" s="1"/>
  <c r="D12" i="5" a="1"/>
  <c r="D12" i="5" s="1"/>
  <c r="D24" i="5" a="1"/>
  <c r="D24" i="5" s="1"/>
  <c r="D14" i="5" a="1"/>
  <c r="D14" i="5" s="1"/>
  <c r="D9" i="5" a="1"/>
  <c r="D9" i="5" s="1"/>
  <c r="D27" i="5" a="1"/>
  <c r="D27" i="5" s="1"/>
  <c r="D39" i="5" a="1"/>
  <c r="D39" i="5" s="1"/>
  <c r="D16" i="5" a="1"/>
  <c r="D16" i="5" s="1"/>
  <c r="D25" i="5" a="1"/>
  <c r="D25" i="5" s="1"/>
  <c r="D6" i="5" a="1"/>
  <c r="D6" i="5" s="1"/>
  <c r="D31" i="5" a="1"/>
  <c r="D31" i="5" s="1"/>
  <c r="D46" i="5" a="1"/>
  <c r="D46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15" i="5"/>
  <c r="K96" i="5"/>
  <c r="K39" i="5"/>
  <c r="K91" i="5"/>
  <c r="K83" i="5"/>
  <c r="K84" i="5"/>
  <c r="K75" i="5"/>
  <c r="K88" i="5"/>
  <c r="K90" i="5"/>
  <c r="K27" i="5"/>
  <c r="K54" i="5"/>
  <c r="K32" i="5"/>
  <c r="K20" i="5"/>
  <c r="K70" i="5"/>
  <c r="K89" i="5"/>
  <c r="K24" i="5"/>
  <c r="K14" i="5"/>
  <c r="K6" i="5"/>
  <c r="K29" i="5"/>
  <c r="K12" i="5"/>
  <c r="K17" i="5"/>
  <c r="K97" i="5"/>
  <c r="K67" i="5"/>
  <c r="K53" i="5"/>
  <c r="K69" i="5"/>
  <c r="K19" i="5"/>
  <c r="K8" i="5"/>
  <c r="K46" i="5"/>
  <c r="K2" i="5"/>
  <c r="K50" i="5"/>
  <c r="K78" i="5"/>
  <c r="K28" i="5"/>
  <c r="K43" i="5"/>
  <c r="K22" i="5"/>
  <c r="K48" i="5"/>
  <c r="K58" i="5"/>
  <c r="K4" i="5"/>
  <c r="K64" i="5"/>
  <c r="K80" i="5"/>
  <c r="K101" i="5"/>
  <c r="K51" i="5"/>
  <c r="K73" i="5"/>
  <c r="K94" i="5"/>
  <c r="K93" i="5"/>
  <c r="K63" i="5"/>
  <c r="K30" i="5"/>
  <c r="K11" i="5"/>
  <c r="K55" i="5"/>
  <c r="K10" i="5"/>
  <c r="K60" i="5"/>
  <c r="K68" i="5"/>
  <c r="K31" i="5"/>
  <c r="K21" i="5"/>
  <c r="K23" i="5"/>
  <c r="K16" i="5"/>
  <c r="K7" i="5"/>
  <c r="K71" i="5"/>
  <c r="K37" i="5"/>
  <c r="K49" i="5"/>
  <c r="K3" i="5"/>
  <c r="K79" i="5"/>
  <c r="K66" i="5"/>
  <c r="K59" i="5"/>
  <c r="K74" i="5"/>
  <c r="K81" i="5"/>
  <c r="K52" i="5"/>
  <c r="K26" i="5"/>
  <c r="K35" i="5"/>
  <c r="K61" i="5"/>
  <c r="K9" i="5"/>
  <c r="K18" i="5"/>
  <c r="K13" i="5"/>
  <c r="K86" i="5"/>
  <c r="K36" i="5"/>
  <c r="K5" i="5"/>
  <c r="K33" i="5"/>
  <c r="K45" i="5"/>
  <c r="K98" i="5"/>
  <c r="K65" i="5"/>
  <c r="K62" i="5"/>
  <c r="K95" i="5"/>
  <c r="K47" i="5"/>
  <c r="K99" i="5"/>
  <c r="K72" i="5"/>
  <c r="K42" i="5"/>
  <c r="K38" i="5"/>
  <c r="K34" i="5"/>
  <c r="K56" i="5"/>
  <c r="K41" i="5"/>
  <c r="K40" i="5"/>
  <c r="K25" i="5"/>
  <c r="K85" i="5"/>
  <c r="K92" i="5"/>
  <c r="K82" i="5"/>
  <c r="K100" i="5"/>
  <c r="K57" i="5"/>
  <c r="K44" i="5"/>
  <c r="K76" i="5"/>
  <c r="K87" i="5"/>
  <c r="K77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51" i="5"/>
  <c r="N94" i="5"/>
  <c r="N18" i="5"/>
  <c r="N39" i="5"/>
  <c r="M51" i="5"/>
  <c r="L85" i="5"/>
  <c r="M86" i="5"/>
  <c r="M93" i="5"/>
  <c r="L99" i="5"/>
  <c r="L39" i="5"/>
  <c r="L73" i="5"/>
  <c r="L2" i="5"/>
  <c r="L86" i="5"/>
  <c r="L55" i="5"/>
  <c r="L26" i="5"/>
  <c r="L76" i="5"/>
  <c r="N43" i="5"/>
  <c r="N89" i="5"/>
  <c r="N79" i="5"/>
  <c r="M63" i="5"/>
  <c r="N58" i="5"/>
  <c r="M24" i="5"/>
  <c r="N7" i="5"/>
  <c r="L45" i="5"/>
  <c r="N45" i="5"/>
  <c r="M67" i="5"/>
  <c r="N101" i="5"/>
  <c r="L32" i="5"/>
  <c r="L70" i="5"/>
  <c r="M7" i="5"/>
  <c r="N20" i="5"/>
  <c r="N84" i="5"/>
  <c r="M3" i="5"/>
  <c r="M57" i="5"/>
  <c r="L60" i="5"/>
  <c r="M98" i="5"/>
  <c r="N96" i="5"/>
  <c r="N93" i="5"/>
  <c r="N31" i="5"/>
  <c r="M92" i="5"/>
  <c r="N36" i="5"/>
  <c r="L15" i="5"/>
  <c r="N17" i="5"/>
  <c r="L59" i="5"/>
  <c r="M21" i="5"/>
  <c r="M42" i="5"/>
  <c r="N2" i="5"/>
  <c r="M52" i="5"/>
  <c r="M97" i="5"/>
  <c r="L8" i="5"/>
  <c r="N99" i="5"/>
  <c r="M43" i="5"/>
  <c r="N82" i="5"/>
  <c r="L84" i="5"/>
  <c r="L63" i="5"/>
  <c r="L53" i="5"/>
  <c r="M22" i="5"/>
  <c r="M84" i="5"/>
  <c r="L42" i="5"/>
  <c r="L77" i="5"/>
  <c r="N77" i="5"/>
  <c r="L61" i="5"/>
  <c r="N32" i="5"/>
  <c r="M61" i="5"/>
  <c r="N62" i="5"/>
  <c r="L50" i="5"/>
  <c r="M72" i="5"/>
  <c r="M59" i="5"/>
  <c r="M101" i="5"/>
  <c r="M82" i="5"/>
  <c r="N64" i="5"/>
  <c r="N80" i="5"/>
  <c r="L93" i="5"/>
  <c r="N30" i="5"/>
  <c r="M49" i="5"/>
  <c r="L25" i="5"/>
  <c r="N63" i="5"/>
  <c r="M66" i="5"/>
  <c r="L44" i="5"/>
  <c r="M27" i="5"/>
  <c r="N76" i="5"/>
  <c r="L43" i="5"/>
  <c r="M83" i="5"/>
  <c r="L48" i="5"/>
  <c r="L33" i="5"/>
  <c r="L47" i="5"/>
  <c r="N49" i="5"/>
  <c r="M26" i="5"/>
  <c r="M38" i="5"/>
  <c r="M4" i="5"/>
  <c r="N34" i="5"/>
  <c r="L17" i="5"/>
  <c r="M33" i="5"/>
  <c r="L56" i="5"/>
  <c r="L12" i="5"/>
  <c r="N57" i="5"/>
  <c r="L5" i="5"/>
  <c r="L72" i="5"/>
  <c r="N15" i="5"/>
  <c r="N27" i="5"/>
  <c r="L30" i="5"/>
  <c r="M40" i="5"/>
  <c r="N26" i="5"/>
  <c r="N16" i="5"/>
  <c r="L14" i="5"/>
  <c r="L11" i="5"/>
  <c r="M88" i="5"/>
  <c r="N6" i="5"/>
  <c r="N21" i="5"/>
  <c r="L69" i="5"/>
  <c r="L58" i="5"/>
  <c r="L79" i="5"/>
  <c r="L83" i="5"/>
  <c r="M85" i="5"/>
  <c r="L35" i="5"/>
  <c r="M31" i="5"/>
  <c r="N41" i="5"/>
  <c r="L41" i="5"/>
  <c r="M41" i="5"/>
  <c r="M6" i="5"/>
  <c r="L10" i="5"/>
  <c r="L91" i="5"/>
  <c r="N35" i="5"/>
  <c r="L6" i="5"/>
  <c r="M75" i="5"/>
  <c r="L9" i="5"/>
  <c r="L68" i="5"/>
  <c r="L65" i="5"/>
  <c r="L95" i="5"/>
  <c r="M99" i="5"/>
  <c r="M37" i="5"/>
  <c r="N81" i="5"/>
  <c r="L90" i="5"/>
  <c r="N33" i="5"/>
  <c r="M18" i="5"/>
  <c r="N53" i="5"/>
  <c r="N100" i="5"/>
  <c r="M77" i="5"/>
  <c r="M39" i="5"/>
  <c r="M34" i="5"/>
  <c r="N46" i="5"/>
  <c r="N5" i="5"/>
  <c r="N69" i="5"/>
  <c r="L49" i="5"/>
  <c r="M32" i="5"/>
  <c r="N50" i="5"/>
  <c r="L87" i="5"/>
  <c r="L81" i="5"/>
  <c r="N3" i="5"/>
  <c r="N92" i="5"/>
  <c r="M2" i="5"/>
  <c r="M25" i="5"/>
  <c r="L54" i="5"/>
  <c r="M46" i="5"/>
  <c r="M23" i="5"/>
  <c r="N88" i="5"/>
  <c r="N83" i="5"/>
  <c r="M71" i="5"/>
  <c r="N51" i="5"/>
  <c r="M74" i="5"/>
  <c r="L80" i="5"/>
  <c r="L57" i="5"/>
  <c r="L7" i="5"/>
  <c r="L97" i="5"/>
  <c r="N9" i="5"/>
  <c r="N72" i="5"/>
  <c r="M14" i="5"/>
  <c r="N52" i="5"/>
  <c r="N42" i="5"/>
  <c r="M16" i="5"/>
  <c r="L40" i="5"/>
  <c r="M15" i="5"/>
  <c r="M70" i="5"/>
  <c r="N68" i="5"/>
  <c r="L89" i="5"/>
  <c r="N44" i="5"/>
  <c r="M13" i="5"/>
  <c r="M11" i="5"/>
  <c r="L62" i="5"/>
  <c r="L74" i="5"/>
  <c r="N65" i="5"/>
  <c r="L98" i="5"/>
  <c r="M80" i="5"/>
  <c r="M30" i="5"/>
  <c r="N66" i="5"/>
  <c r="N11" i="5"/>
  <c r="M100" i="5"/>
  <c r="L36" i="5"/>
  <c r="N87" i="5"/>
  <c r="L46" i="5"/>
  <c r="L92" i="5"/>
  <c r="M10" i="5"/>
  <c r="M79" i="5"/>
  <c r="N60" i="5"/>
  <c r="N61" i="5"/>
  <c r="N23" i="5"/>
  <c r="N97" i="5"/>
  <c r="N73" i="5"/>
  <c r="M48" i="5"/>
  <c r="N95" i="5"/>
  <c r="M69" i="5"/>
  <c r="N29" i="5"/>
  <c r="L34" i="5"/>
  <c r="M73" i="5"/>
  <c r="M53" i="5"/>
  <c r="N67" i="5"/>
  <c r="M78" i="5"/>
  <c r="N56" i="5"/>
  <c r="M47" i="5"/>
  <c r="N85" i="5"/>
  <c r="N98" i="5"/>
  <c r="L22" i="5"/>
  <c r="L4" i="5"/>
  <c r="L29" i="5"/>
  <c r="L94" i="5"/>
  <c r="N28" i="5"/>
  <c r="N38" i="5"/>
  <c r="N75" i="5"/>
  <c r="L3" i="5"/>
  <c r="L78" i="5"/>
  <c r="N74" i="5"/>
  <c r="N70" i="5"/>
  <c r="N14" i="5"/>
  <c r="L71" i="5"/>
  <c r="N54" i="5"/>
  <c r="N4" i="5"/>
  <c r="L100" i="5"/>
  <c r="N22" i="5"/>
  <c r="M45" i="5"/>
  <c r="M87" i="5"/>
  <c r="N90" i="5"/>
  <c r="M64" i="5"/>
  <c r="M44" i="5"/>
  <c r="N13" i="5"/>
  <c r="L27" i="5"/>
  <c r="N10" i="5"/>
  <c r="L16" i="5"/>
  <c r="M19" i="5"/>
  <c r="M54" i="5"/>
  <c r="L28" i="5"/>
  <c r="L20" i="5"/>
  <c r="N40" i="5"/>
  <c r="M20" i="5"/>
  <c r="L38" i="5"/>
  <c r="L19" i="5"/>
  <c r="N8" i="5"/>
  <c r="N71" i="5"/>
  <c r="M91" i="5"/>
  <c r="L66" i="5"/>
  <c r="L18" i="5"/>
  <c r="M65" i="5"/>
  <c r="M60" i="5"/>
  <c r="L37" i="5"/>
  <c r="N47" i="5"/>
  <c r="L67" i="5"/>
  <c r="L52" i="5"/>
  <c r="M56" i="5"/>
  <c r="M12" i="5"/>
  <c r="N86" i="5"/>
  <c r="N12" i="5"/>
  <c r="M89" i="5"/>
  <c r="M35" i="5"/>
  <c r="N91" i="5"/>
  <c r="L23" i="5"/>
  <c r="M58" i="5"/>
  <c r="M90" i="5"/>
  <c r="M95" i="5"/>
  <c r="N55" i="5"/>
  <c r="M9" i="5"/>
  <c r="L31" i="5"/>
  <c r="L64" i="5"/>
  <c r="N25" i="5"/>
  <c r="L96" i="5"/>
  <c r="M94" i="5"/>
  <c r="N48" i="5"/>
  <c r="M62" i="5"/>
  <c r="L82" i="5"/>
  <c r="L24" i="5"/>
  <c r="M96" i="5"/>
  <c r="M8" i="5"/>
  <c r="M36" i="5"/>
  <c r="M5" i="5"/>
  <c r="L88" i="5"/>
  <c r="N59" i="5"/>
  <c r="L21" i="5"/>
  <c r="M55" i="5"/>
  <c r="N24" i="5"/>
  <c r="M29" i="5"/>
  <c r="M28" i="5"/>
  <c r="M81" i="5"/>
  <c r="N78" i="5"/>
  <c r="L75" i="5"/>
  <c r="N19" i="5"/>
  <c r="L101" i="5"/>
  <c r="M76" i="5"/>
  <c r="L13" i="5"/>
  <c r="M17" i="5"/>
  <c r="N37" i="5"/>
  <c r="M68" i="5"/>
  <c r="M50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46" i="5"/>
  <c r="J29" i="5"/>
  <c r="J34" i="5"/>
  <c r="J75" i="5"/>
  <c r="J45" i="5"/>
  <c r="J81" i="5"/>
  <c r="J82" i="5"/>
  <c r="J64" i="5"/>
  <c r="J89" i="5"/>
  <c r="J69" i="5"/>
  <c r="J30" i="5"/>
  <c r="J12" i="5"/>
  <c r="J36" i="5"/>
  <c r="J19" i="5"/>
  <c r="J98" i="5"/>
  <c r="J63" i="5"/>
  <c r="J80" i="5"/>
  <c r="J22" i="5"/>
  <c r="J99" i="5"/>
  <c r="J31" i="5"/>
  <c r="J77" i="5"/>
  <c r="J72" i="5"/>
  <c r="J61" i="5"/>
  <c r="J32" i="5"/>
  <c r="J56" i="5"/>
  <c r="J7" i="5"/>
  <c r="J62" i="5"/>
  <c r="J86" i="5"/>
  <c r="J53" i="5"/>
  <c r="J48" i="5"/>
  <c r="J87" i="5"/>
  <c r="J78" i="5"/>
  <c r="J66" i="5"/>
  <c r="J18" i="5"/>
  <c r="J101" i="5"/>
  <c r="J50" i="5"/>
  <c r="J85" i="5"/>
  <c r="J3" i="5"/>
  <c r="J49" i="5"/>
  <c r="J15" i="5"/>
  <c r="J38" i="5"/>
  <c r="J51" i="5"/>
  <c r="J90" i="5"/>
  <c r="J88" i="5"/>
  <c r="J26" i="5"/>
  <c r="J23" i="5"/>
  <c r="J74" i="5"/>
  <c r="J60" i="5"/>
  <c r="J84" i="5"/>
  <c r="J9" i="5"/>
  <c r="J24" i="5"/>
  <c r="J2" i="5"/>
  <c r="J95" i="5"/>
  <c r="J47" i="5"/>
  <c r="J4" i="5"/>
  <c r="J11" i="5"/>
  <c r="J83" i="5"/>
  <c r="J54" i="5"/>
  <c r="J94" i="5"/>
  <c r="J65" i="5"/>
  <c r="J91" i="5"/>
  <c r="J17" i="5"/>
  <c r="J55" i="5"/>
  <c r="J100" i="5"/>
  <c r="J20" i="5"/>
  <c r="J37" i="5"/>
  <c r="J93" i="5"/>
  <c r="J92" i="5"/>
  <c r="J8" i="5"/>
  <c r="J41" i="5"/>
  <c r="J76" i="5"/>
  <c r="J5" i="5"/>
  <c r="J33" i="5"/>
  <c r="J27" i="5"/>
  <c r="J70" i="5"/>
  <c r="J35" i="5"/>
  <c r="J21" i="5"/>
  <c r="J58" i="5"/>
  <c r="J16" i="5"/>
  <c r="J97" i="5"/>
  <c r="J73" i="5"/>
  <c r="J28" i="5"/>
  <c r="J67" i="5"/>
  <c r="J42" i="5"/>
  <c r="J40" i="5"/>
  <c r="J59" i="5"/>
  <c r="J57" i="5"/>
  <c r="J52" i="5"/>
  <c r="J10" i="5"/>
  <c r="J13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J71" i="5"/>
  <c r="J43" i="5"/>
  <c r="J6" i="5"/>
  <c r="J68" i="5"/>
  <c r="J79" i="5"/>
  <c r="J25" i="5"/>
  <c r="J14" i="5"/>
  <c r="J44" i="5"/>
  <c r="J96" i="5"/>
  <c r="J39" i="5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90" i="5"/>
  <c r="G73" i="5"/>
  <c r="G57" i="5"/>
  <c r="G40" i="5"/>
  <c r="G101" i="5"/>
  <c r="G12" i="5"/>
  <c r="G9" i="5"/>
  <c r="G89" i="5"/>
  <c r="G4" i="5"/>
  <c r="G65" i="5"/>
  <c r="G24" i="5"/>
  <c r="G59" i="5"/>
  <c r="G29" i="5"/>
  <c r="G54" i="5"/>
  <c r="G10" i="5"/>
  <c r="G77" i="5"/>
  <c r="G11" i="5"/>
  <c r="G16" i="5"/>
  <c r="G92" i="5"/>
  <c r="G67" i="5"/>
  <c r="G45" i="5"/>
  <c r="G25" i="5"/>
  <c r="G75" i="5"/>
  <c r="G94" i="5"/>
  <c r="G53" i="5"/>
  <c r="G6" i="5"/>
  <c r="G70" i="5"/>
  <c r="G68" i="5"/>
  <c r="G97" i="5"/>
  <c r="G61" i="5"/>
  <c r="G3" i="5"/>
  <c r="G91" i="5"/>
  <c r="G76" i="5"/>
  <c r="G18" i="5"/>
  <c r="G17" i="5"/>
  <c r="G36" i="5"/>
  <c r="G69" i="5"/>
  <c r="G84" i="5"/>
  <c r="G86" i="5"/>
  <c r="G7" i="5"/>
  <c r="G78" i="5"/>
  <c r="G28" i="5"/>
  <c r="G81" i="5"/>
  <c r="G71" i="5"/>
  <c r="G23" i="5"/>
  <c r="G35" i="5"/>
  <c r="G99" i="5"/>
  <c r="G8" i="5"/>
  <c r="G48" i="5"/>
  <c r="G13" i="5"/>
  <c r="G88" i="5"/>
  <c r="G82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93" i="5"/>
  <c r="G46" i="5"/>
  <c r="G27" i="5"/>
  <c r="G100" i="5"/>
  <c r="G85" i="5"/>
  <c r="G63" i="5"/>
  <c r="G38" i="5"/>
  <c r="G47" i="5"/>
  <c r="G83" i="5"/>
  <c r="G44" i="5"/>
  <c r="G72" i="5"/>
  <c r="G22" i="5"/>
  <c r="G79" i="5"/>
  <c r="G56" i="5"/>
  <c r="G52" i="5"/>
  <c r="G19" i="5"/>
  <c r="G30" i="5"/>
  <c r="G20" i="5"/>
  <c r="G95" i="5"/>
  <c r="G42" i="5"/>
  <c r="G31" i="5"/>
  <c r="G64" i="5"/>
  <c r="G5" i="5"/>
  <c r="G15" i="5"/>
  <c r="G55" i="5"/>
  <c r="G26" i="5"/>
  <c r="G98" i="5"/>
  <c r="G50" i="5"/>
  <c r="G49" i="5"/>
  <c r="G87" i="5"/>
  <c r="G34" i="5"/>
  <c r="G14" i="5"/>
  <c r="G39" i="5"/>
  <c r="G96" i="5"/>
  <c r="G62" i="5"/>
  <c r="G58" i="5"/>
  <c r="G32" i="5"/>
  <c r="G37" i="5"/>
  <c r="G2" i="5"/>
  <c r="G41" i="5"/>
  <c r="G21" i="5"/>
  <c r="G33" i="5"/>
  <c r="G51" i="5"/>
  <c r="G74" i="5"/>
  <c r="G60" i="5"/>
  <c r="G80" i="5"/>
  <c r="G43" i="5"/>
  <c r="G66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57" i="5"/>
  <c r="F15" i="5"/>
  <c r="F10" i="5"/>
  <c r="F44" i="5"/>
  <c r="F92" i="5"/>
  <c r="F28" i="5"/>
  <c r="F86" i="5"/>
  <c r="F97" i="5"/>
  <c r="F64" i="5"/>
  <c r="F42" i="5"/>
  <c r="F35" i="5"/>
  <c r="F8" i="5"/>
  <c r="F91" i="5"/>
  <c r="F55" i="5"/>
  <c r="F87" i="5"/>
  <c r="F9" i="5"/>
  <c r="F70" i="5"/>
  <c r="F2" i="5"/>
  <c r="F67" i="5"/>
  <c r="F83" i="5"/>
  <c r="F68" i="5"/>
  <c r="F20" i="5"/>
  <c r="F75" i="5"/>
  <c r="F3" i="5"/>
  <c r="F89" i="5"/>
  <c r="F98" i="5"/>
  <c r="F45" i="5"/>
  <c r="F34" i="5"/>
  <c r="F14" i="5"/>
  <c r="F58" i="5"/>
  <c r="F77" i="5"/>
  <c r="F21" i="5"/>
  <c r="F81" i="5"/>
  <c r="F37" i="5"/>
  <c r="F17" i="5"/>
  <c r="F48" i="5"/>
  <c r="F73" i="5"/>
  <c r="F24" i="5"/>
  <c r="F61" i="5"/>
  <c r="F79" i="5"/>
  <c r="F16" i="5"/>
  <c r="F93" i="5"/>
  <c r="F69" i="5"/>
  <c r="F32" i="5"/>
  <c r="F51" i="5"/>
  <c r="F36" i="5"/>
  <c r="F99" i="5"/>
  <c r="F76" i="5"/>
  <c r="F59" i="5"/>
  <c r="F90" i="5"/>
  <c r="F101" i="5"/>
  <c r="F88" i="5"/>
  <c r="F47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F38" i="5"/>
  <c r="F95" i="5"/>
  <c r="F26" i="5"/>
  <c r="F4" i="5"/>
  <c r="F54" i="5"/>
  <c r="F50" i="5"/>
  <c r="F65" i="5"/>
  <c r="F60" i="5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3" i="5"/>
  <c r="F41" i="5"/>
  <c r="H41" i="5"/>
  <c r="F71" i="5"/>
  <c r="F7" i="5"/>
  <c r="H62" i="5"/>
  <c r="F52" i="5"/>
  <c r="H5" i="5"/>
  <c r="H78" i="5"/>
  <c r="F85" i="5"/>
  <c r="F25" i="5"/>
  <c r="F22" i="5"/>
  <c r="F43" i="5"/>
  <c r="F84" i="5"/>
  <c r="H12" i="5"/>
  <c r="H61" i="5"/>
  <c r="H70" i="5"/>
  <c r="H25" i="5"/>
  <c r="H101" i="5"/>
  <c r="F5" i="5"/>
  <c r="H18" i="5"/>
  <c r="F49" i="5"/>
  <c r="F56" i="5"/>
  <c r="H69" i="5"/>
  <c r="F39" i="5"/>
  <c r="F12" i="5"/>
  <c r="H74" i="5"/>
  <c r="H79" i="5"/>
  <c r="F30" i="5"/>
  <c r="H71" i="5"/>
  <c r="H26" i="5"/>
  <c r="H85" i="5"/>
  <c r="F66" i="5"/>
  <c r="H4" i="5"/>
  <c r="H50" i="5"/>
  <c r="F62" i="5"/>
  <c r="H68" i="5"/>
  <c r="H93" i="5"/>
  <c r="H59" i="5"/>
  <c r="F31" i="5"/>
  <c r="H87" i="5"/>
  <c r="F96" i="5"/>
  <c r="F11" i="5"/>
  <c r="H13" i="5"/>
  <c r="H54" i="5"/>
  <c r="H47" i="5"/>
  <c r="F6" i="5"/>
  <c r="F63" i="5"/>
  <c r="H49" i="5"/>
  <c r="H46" i="5"/>
  <c r="H7" i="5"/>
  <c r="F80" i="5"/>
  <c r="F19" i="5"/>
  <c r="F78" i="5"/>
  <c r="F46" i="5"/>
  <c r="F72" i="5"/>
  <c r="F94" i="5"/>
  <c r="F74" i="5"/>
  <c r="H6" i="5"/>
  <c r="F18" i="5"/>
  <c r="F40" i="5"/>
  <c r="H96" i="5"/>
  <c r="H17" i="5"/>
  <c r="F33" i="5"/>
  <c r="H99" i="5"/>
  <c r="H22" i="5"/>
  <c r="F29" i="5"/>
  <c r="H44" i="5"/>
  <c r="H20" i="5"/>
  <c r="H92" i="5"/>
  <c r="F82" i="5"/>
  <c r="H80" i="5"/>
  <c r="H2" i="5"/>
  <c r="F100" i="5"/>
  <c r="H63" i="5"/>
  <c r="H82" i="5"/>
  <c r="F23" i="5"/>
  <c r="H94" i="5"/>
  <c r="F53" i="5"/>
  <c r="F27" i="5"/>
  <c r="H88" i="5"/>
  <c r="F13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H36" i="5"/>
  <c r="H39" i="5"/>
  <c r="H65" i="5"/>
  <c r="H57" i="5"/>
  <c r="H75" i="5"/>
  <c r="H11" i="5"/>
  <c r="H97" i="5"/>
  <c r="H52" i="5"/>
  <c r="H10" i="5"/>
  <c r="H8" i="5"/>
  <c r="H77" i="5"/>
  <c r="H98" i="5"/>
  <c r="H29" i="5"/>
  <c r="H53" i="5"/>
  <c r="H31" i="5"/>
  <c r="H14" i="5"/>
  <c r="H76" i="5"/>
  <c r="H72" i="5"/>
  <c r="H91" i="5"/>
  <c r="H16" i="5"/>
  <c r="H34" i="5"/>
  <c r="H56" i="5"/>
  <c r="H73" i="5"/>
  <c r="H95" i="5"/>
  <c r="H23" i="5"/>
  <c r="H51" i="5"/>
  <c r="H55" i="5"/>
  <c r="H15" i="5"/>
  <c r="H81" i="5"/>
  <c r="H35" i="5"/>
  <c r="H37" i="5"/>
  <c r="H58" i="5"/>
  <c r="H66" i="5"/>
  <c r="H38" i="5"/>
  <c r="H32" i="5"/>
  <c r="H21" i="5"/>
  <c r="H86" i="5"/>
  <c r="H48" i="5"/>
  <c r="H100" i="5"/>
  <c r="H9" i="5"/>
  <c r="H30" i="5"/>
  <c r="H45" i="5"/>
  <c r="H84" i="5"/>
  <c r="H64" i="5"/>
  <c r="H19" i="5"/>
  <c r="H28" i="5"/>
  <c r="H83" i="5"/>
  <c r="H40" i="5"/>
  <c r="H27" i="5"/>
  <c r="H60" i="5"/>
  <c r="H90" i="5"/>
  <c r="H43" i="5"/>
  <c r="H24" i="5"/>
  <c r="H3" i="5"/>
  <c r="H42" i="5"/>
  <c r="H89" i="5"/>
  <c r="H67" i="5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87" i="5"/>
  <c r="I88" i="5"/>
  <c r="I89" i="5"/>
  <c r="I62" i="5"/>
  <c r="I35" i="5"/>
  <c r="I81" i="5"/>
  <c r="I28" i="5"/>
  <c r="I60" i="5"/>
  <c r="I2" i="5"/>
  <c r="I45" i="5"/>
  <c r="I15" i="5"/>
  <c r="I21" i="5"/>
  <c r="I42" i="5"/>
  <c r="I41" i="5"/>
  <c r="I18" i="5"/>
  <c r="I30" i="5"/>
  <c r="I59" i="5"/>
  <c r="I25" i="5"/>
  <c r="I43" i="5"/>
  <c r="I48" i="5"/>
  <c r="I97" i="5"/>
  <c r="I74" i="5"/>
  <c r="I83" i="5"/>
  <c r="I24" i="5"/>
  <c r="I47" i="5"/>
  <c r="I51" i="5"/>
  <c r="I90" i="5"/>
  <c r="I38" i="5"/>
  <c r="I67" i="5"/>
  <c r="I26" i="5"/>
  <c r="I65" i="5"/>
  <c r="I79" i="5"/>
  <c r="I5" i="5"/>
  <c r="I31" i="5"/>
  <c r="I37" i="5"/>
  <c r="I36" i="5"/>
  <c r="I13" i="5"/>
  <c r="I17" i="5"/>
  <c r="I23" i="5"/>
  <c r="I53" i="5"/>
  <c r="I71" i="5"/>
  <c r="I39" i="5"/>
  <c r="I10" i="5"/>
  <c r="I61" i="5"/>
  <c r="I82" i="5"/>
  <c r="I8" i="5"/>
  <c r="I69" i="5"/>
  <c r="I57" i="5"/>
  <c r="I98" i="5"/>
  <c r="I6" i="5"/>
  <c r="I19" i="5"/>
  <c r="I94" i="5"/>
  <c r="I29" i="5"/>
  <c r="I12" i="5"/>
  <c r="I11" i="5"/>
  <c r="I70" i="5"/>
  <c r="I64" i="5"/>
  <c r="I63" i="5"/>
  <c r="I14" i="5"/>
  <c r="I33" i="5"/>
  <c r="I34" i="5"/>
  <c r="I96" i="5"/>
  <c r="I32" i="5"/>
  <c r="I68" i="5"/>
  <c r="I77" i="5"/>
  <c r="I3" i="5"/>
  <c r="I84" i="5"/>
  <c r="I73" i="5"/>
  <c r="I93" i="5"/>
  <c r="I95" i="5"/>
  <c r="I55" i="5"/>
  <c r="I16" i="5"/>
  <c r="I85" i="5"/>
  <c r="I49" i="5"/>
  <c r="I50" i="5"/>
  <c r="I20" i="5"/>
  <c r="I40" i="5"/>
  <c r="I91" i="5"/>
  <c r="I7" i="5"/>
  <c r="I78" i="5"/>
  <c r="I52" i="5"/>
  <c r="I4" i="5"/>
  <c r="I86" i="5"/>
  <c r="I75" i="5"/>
  <c r="I92" i="5"/>
  <c r="I9" i="5"/>
  <c r="I54" i="5"/>
  <c r="I27" i="5"/>
  <c r="I76" i="5"/>
  <c r="I58" i="5"/>
  <c r="I101" i="5"/>
  <c r="I46" i="5"/>
  <c r="I72" i="5"/>
  <c r="I99" i="5"/>
  <c r="I80" i="5"/>
  <c r="I22" i="5"/>
  <c r="I66" i="5"/>
  <c r="I100" i="5"/>
  <c r="I44" i="5"/>
  <c r="I56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74" i="5"/>
  <c r="E6" i="5"/>
  <c r="E57" i="5"/>
  <c r="E60" i="5"/>
  <c r="E30" i="5"/>
  <c r="E14" i="5"/>
  <c r="E2" i="5"/>
  <c r="E87" i="5"/>
  <c r="E7" i="5"/>
  <c r="E9" i="5"/>
  <c r="E24" i="5"/>
  <c r="E34" i="5"/>
  <c r="E70" i="5"/>
  <c r="E61" i="5"/>
  <c r="E26" i="5"/>
  <c r="E50" i="5"/>
  <c r="E84" i="5"/>
  <c r="E15" i="5"/>
  <c r="E32" i="5"/>
  <c r="E10" i="5"/>
  <c r="E82" i="5"/>
  <c r="E56" i="5"/>
  <c r="E29" i="5"/>
  <c r="E44" i="5"/>
  <c r="E89" i="5"/>
  <c r="E23" i="5"/>
  <c r="E41" i="5"/>
  <c r="E4" i="5"/>
  <c r="E8" i="5"/>
  <c r="E66" i="5"/>
  <c r="E25" i="5"/>
  <c r="E52" i="5"/>
  <c r="E21" i="5"/>
  <c r="E11" i="5"/>
  <c r="E45" i="5"/>
  <c r="E65" i="5"/>
  <c r="E96" i="5"/>
  <c r="E63" i="5"/>
  <c r="E90" i="5"/>
  <c r="E80" i="5"/>
  <c r="E16" i="5"/>
  <c r="E62" i="5"/>
  <c r="E81" i="5"/>
  <c r="E33" i="5"/>
  <c r="E35" i="5"/>
  <c r="E49" i="5"/>
  <c r="E101" i="5"/>
  <c r="E94" i="5"/>
  <c r="E20" i="5"/>
  <c r="E5" i="5"/>
  <c r="E93" i="5"/>
  <c r="E72" i="5"/>
  <c r="E3" i="5"/>
  <c r="E51" i="5"/>
  <c r="E28" i="5"/>
  <c r="E95" i="5"/>
  <c r="E69" i="5"/>
  <c r="E99" i="5"/>
  <c r="E64" i="5"/>
  <c r="E97" i="5"/>
  <c r="E100" i="5"/>
  <c r="E77" i="5"/>
  <c r="E48" i="5"/>
  <c r="E19" i="5"/>
  <c r="E36" i="5"/>
  <c r="E39" i="5"/>
  <c r="E43" i="5"/>
  <c r="E46" i="5"/>
  <c r="E17" i="5"/>
  <c r="E98" i="5"/>
  <c r="E12" i="5"/>
  <c r="E55" i="5"/>
  <c r="E83" i="5"/>
  <c r="E22" i="5"/>
  <c r="E67" i="5"/>
  <c r="E79" i="5"/>
  <c r="E54" i="5"/>
  <c r="E68" i="5"/>
  <c r="E91" i="5"/>
  <c r="E27" i="5"/>
  <c r="E76" i="5"/>
  <c r="E86" i="5"/>
  <c r="E18" i="5"/>
  <c r="E40" i="5"/>
  <c r="E38" i="5"/>
  <c r="E58" i="5"/>
  <c r="E31" i="5"/>
  <c r="E75" i="5"/>
  <c r="E92" i="5"/>
  <c r="E13" i="5"/>
  <c r="E71" i="5"/>
  <c r="E53" i="5"/>
  <c r="E78" i="5"/>
  <c r="E73" i="5"/>
  <c r="E47" i="5"/>
  <c r="E59" i="5"/>
  <c r="E42" i="5"/>
  <c r="E85" i="5"/>
  <c r="E37" i="5"/>
  <c r="E88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<sst xmlns="http://schemas.openxmlformats.org/spreadsheetml/2006/main" count="333" uniqueCount="254">
  <si>
    <t>^</t>
  </si>
  <si>
    <t>KANBAN</t>
  </si>
  <si>
    <t>COMPLETADO</t>
  </si>
  <si>
    <t>IMPORTANTE</t>
  </si>
  <si>
    <t>[REQ001] Iniciar Sesión</t>
  </si>
  <si>
    <t>Administrador, técnico, cliente podrán iniciar sesión en la plataforma, así se podrá tener acceso a los distintos tipos de gestiones según mi rol.</t>
  </si>
  <si>
    <t>Villarroel Justin</t>
  </si>
  <si>
    <t>[REQ003] Registrar perfil</t>
  </si>
  <si>
    <t>Administrador, cliente necesita registrar un nuevo perfil  así se podrá tener una cuenta en el sistema ingresando mi información requerida.</t>
  </si>
  <si>
    <t>Valencia Yuliana</t>
  </si>
  <si>
    <t>[REQ004] Crear Perfil a Cliente</t>
  </si>
  <si>
    <t>Administrador necesita registrar un nuevo perfil para el cliente  así se podrá centralizar la creación de usuarios desde el taller físico.</t>
  </si>
  <si>
    <t>Lasso Sebastian</t>
  </si>
  <si>
    <t>[REQ012] Crear Perfil de Técnico</t>
  </si>
  <si>
    <t>Administrador necesita registrar un nuevo perfil de técnico y así podrá ingresar los datos del nuevo personal reparador al sistema.</t>
  </si>
  <si>
    <t>[REQ005] Registrar Mantenimiento</t>
  </si>
  <si>
    <t>Administrador necesita registrar mantenimientos en el sistema así se podria iniciar la gestión y seguimiento técnico de los dispositivos.</t>
  </si>
  <si>
    <t>[REQ006] Consultar Mantenimientos</t>
  </si>
  <si>
    <t>Administrador necesita consultar todos los mantenimientos; así se podrán aplicar búsquedas, filtros y ordenaciones para encontrar equipos rápidamente.</t>
  </si>
  <si>
    <t>[REQ008] Asignar Técnico</t>
  </si>
  <si>
    <t>Administrador necesita asignar un técnico a un mantenimiento por registrar así podrá designar a un responsable directo desde el momento de ingreso del equipo.</t>
  </si>
  <si>
    <t>[REQ013] Consultar Técnicos</t>
  </si>
  <si>
    <t>Administrador necesita consultar los técnicos registrados así podrá localizarlos rápidamente mediante búsquedas, filtros, y ordenaciones.</t>
  </si>
  <si>
    <t>[REQ007] Editar Mantenimiento</t>
  </si>
  <si>
    <t>Administrador, Técnico necesitan editar mantenimientos así podrán actualizar el progreso, diagnóstico y estado de las reparaciones.</t>
  </si>
  <si>
    <t>[REQ009] Reasignar Técnico</t>
  </si>
  <si>
    <t>Administrador necesita reasignar un técnico diferente a un mantenimiento así podrá redistribuir la carga laboral o solventar ausencias del personal.</t>
  </si>
  <si>
    <t>[REQ014] Editar Técnico</t>
  </si>
  <si>
    <t>Administrador necesita editar o eliminar la información de un técnico  así podrá  mantener los perfiles al día o dar de baja a personal inactivo.</t>
  </si>
  <si>
    <t>[REQ016] Editar Cliente</t>
  </si>
  <si>
    <t>Administrador, Técnico necesita permitir imprimir la información solicitado para asi obtener un informe físico o digital previo a la ejecución.</t>
  </si>
  <si>
    <t>EN PROGRESO</t>
  </si>
  <si>
    <t>[REQ011] Notificaciones Externas</t>
  </si>
  <si>
    <t xml:space="preserve">Pruebas para  elDiseño de BD
Diseño de Arquitectura Sw
Diseño de Interfaz </t>
  </si>
  <si>
    <t>[REQ015] Consultar Clientes</t>
  </si>
  <si>
    <t>Administrador necesita consultar clientes registrados en el Sistema asi podra visualizar a los usuarios mediante búsquedas y ordenaciones.</t>
  </si>
  <si>
    <t>[REQ017] Consultar Mantenimientos de Perfil</t>
  </si>
  <si>
    <t>Cliente necesita consultar todos los mantenimientos del perfil para asi monitorear órdenes propias con búsquedas, filtros y ordenaciones.</t>
  </si>
  <si>
    <t>POR HACER</t>
  </si>
  <si>
    <t>[REQ010] Imprimir Informe</t>
  </si>
  <si>
    <t>Administrador, Técnico necesitan permitir imprimir la información solicitada asi podran obtener un informe físico o digital previo a la ejecución.</t>
  </si>
  <si>
    <t>[REQ002] Olvidar contraseña</t>
  </si>
  <si>
    <t>Administrador, técnico, cliente necesitan deberá permitir la recuperación de la contraseña asi podran recuperar el acceso al perfil de forma autónoma.</t>
  </si>
  <si>
    <t>[REQ018] Consultar Mantenimientos Asignados</t>
  </si>
  <si>
    <t>Técnico necesitan consultar todos los mantenimientos asignados asi podran visualizar las reparaciones pendientes con búsquedas y filtros.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</si>
  <si>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</si>
  <si>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</si>
  <si>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</si>
  <si>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</si>
  <si>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</si>
  <si>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</si>
  <si>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</si>
  <si>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URGENTE</t>
  </si>
  <si>
    <t>EN ESPERA</t>
  </si>
  <si>
    <t>NORMAL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</si>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</sst>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6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5" dataDxfId="24">
  <autoFilter ref="B1:G33" xr:uid="{0EAF28E5-0E22-47B4-AD65-B0AEBC07C8FD}"/>
  <tableColumns count="6">
    <tableColumn id="1" xr3:uid="{F0E73C1E-CCFA-4300-AC3D-E67E676E36BF}" name="Español" dataDxfId="23"/>
    <tableColumn id="2" xr3:uid="{36085523-D642-42FF-AE1D-87567505551D}" name="English" dataDxfId="22"/>
    <tableColumn id="3" xr3:uid="{3322FBB4-01E0-4235-A470-44717FDBDCC9}" name="Française" dataDxfId="21"/>
    <tableColumn id="4" xr3:uid="{2DF4B6A9-AFE6-4898-91D8-DC7E333ACF08}" name="Italiano" dataDxfId="20"/>
    <tableColumn id="5" xr3:uid="{9A0035F3-EC53-45C0-B33A-DBC7B4DB4D45}" name="Deutsch" dataDxfId="19"/>
    <tableColumn id="6" xr3:uid="{F02A4F88-64FE-47CB-8FD1-5FD4615BD74A}" name="Português" dataDxfId="1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15" activePane="bottomLeft" state="frozen"/>
      <selection pane="bottomLeft" activeCell="N36" sqref="N36:O36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6640625" style="2" hidden="1"/>
  </cols>
  <sheetData>
    <row r="1" spans="2:51" ht="15" thickBot="1" x14ac:dyDescent="0.35"/>
    <row r="2" spans="2:51" ht="15" thickBot="1" x14ac:dyDescent="0.35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46179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(0 de 18)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(0 de 18)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18)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(18 de 18)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18)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18)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18)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18)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18)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18)</v>
      </c>
      <c r="AW4" s="109"/>
      <c r="AX4" s="109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7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7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18: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[REQ018] Consultar Mantenimientos Asignados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7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7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Técnico necesitan consultar todos los mantenimientos asignados asi podran visualizar las reparaciones pendientes con búsquedas y filtros.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7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7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7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7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46210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7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7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7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7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46214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7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7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7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7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46214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7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7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7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7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Lasso Sebastian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7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7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17: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[REQ002] Olvidar contraseña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7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7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Administrador, técnico, cliente necesitan deberá permitir la recuperación de la contraseña asi podran recuperar el acceso al perfil de forma autónoma.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7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7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7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7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46210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7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7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7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7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46214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7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7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7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7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46214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Lasso Sebastian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16: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[REQ010] Imprimir Informe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Administrador, Técnico necesitan permitir imprimir la información solicitada asi podran obtener un informe físico o digital previo a la ejecución.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46210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46214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46214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5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Valencia Yuliana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15: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[REQ017] Consultar Mantenimientos de Perfil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Cliente necesita consultar todos los mantenimientos del perfil para asi monitorear órdenes propias con búsquedas, filtros y ordenaciones.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46203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46207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46207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Villarroel Justin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14: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[REQ015] Consultar Clientes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Administrador necesita consultar clientes registrados en el Sistema asi podra visualizar a los usuarios mediante búsquedas y ordenaciones.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46203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46207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46207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Lasso Sebastian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13: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[REQ011] Notificaciones Externas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Pruebas para  elDiseño de BD
Diseño de Arquitectura Sw
Diseño de Interfaz 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46203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46207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46207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Villarroel Justin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12: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[REQ016] Editar Cliente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Administrador, Técnico necesita permitir imprimir la información solicitado para asi obtener un informe físico o digital previo a la ejecución.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46196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46200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46200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5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Valencia Yuliana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11: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[REQ014] Editar Técnico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Administrador necesita editar o eliminar la información de un técnico  así podrá  mantener los perfiles al día o dar de baja a personal inactivo.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46196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46200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46200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5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Villarroel Justin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10: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[REQ009] Reasignar Técnico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Administrador necesita reasignar un técnico diferente a un mantenimiento así podrá redistribuir la carga laboral o solventar ausencias del personal.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46196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46200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46200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5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Lasso Sebastian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9: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[REQ007] Editar Mantenimiento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Administrador, Técnico necesitan editar mantenimientos así podrán actualizar el progreso, diagnóstico y estado de las reparaciones.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46196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46200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46200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5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Villarroel Justin</v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8:</v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[REQ013] Consultar Técnicos</v>
      </c>
      <c r="T96" s="107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Administrador necesita consultar los técnicos registrados así podrá localizarlos rápidamente mediante búsquedas, filtros, y ordenaciones.</v>
      </c>
      <c r="T97" s="107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7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46189</v>
      </c>
      <c r="T98" s="107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7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46193</v>
      </c>
      <c r="T99" s="107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7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46193</v>
      </c>
      <c r="T100" s="107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5 días</v>
      </c>
      <c r="T101" s="107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7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Lasso Sebastian</v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7:</v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[REQ008] Asignar Técnico</v>
      </c>
      <c r="T105" s="107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Administrador necesita asignar un técnico a un mantenimiento por registrar así podrá designar a un responsable directo desde el momento de ingreso del equipo.</v>
      </c>
      <c r="T106" s="107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7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46189</v>
      </c>
      <c r="T107" s="107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7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46193</v>
      </c>
      <c r="T108" s="107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7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46193</v>
      </c>
      <c r="T109" s="107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5 días</v>
      </c>
      <c r="T110" s="107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7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Villarroel Justin</v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6:</v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[REQ006] Consultar Mantenimientos</v>
      </c>
      <c r="T114" s="107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Administrador necesita consultar todos los mantenimientos; así se podrán aplicar búsquedas, filtros y ordenaciones para encontrar equipos rápidamente.</v>
      </c>
      <c r="T115" s="107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7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46189</v>
      </c>
      <c r="T116" s="107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7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46193</v>
      </c>
      <c r="T117" s="107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7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46193</v>
      </c>
      <c r="T118" s="107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5 días</v>
      </c>
      <c r="T119" s="107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7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Valencia Yuliana</v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5:</v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[REQ005] Registrar Mantenimiento</v>
      </c>
      <c r="T123" s="107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Administrador necesita registrar mantenimientos en el sistema así se podria iniciar la gestión y seguimiento técnico de los dispositivos.</v>
      </c>
      <c r="T124" s="107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7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46189</v>
      </c>
      <c r="T125" s="107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7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46193</v>
      </c>
      <c r="T126" s="107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7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46193</v>
      </c>
      <c r="T127" s="107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5 días</v>
      </c>
      <c r="T128" s="107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7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Lasso Sebastian</v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4:</v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[REQ012] Crear Perfil de Técnico</v>
      </c>
      <c r="T132" s="107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Administrador necesita registrar un nuevo perfil de técnico y así podrá ingresar los datos del nuevo personal reparador al sistema.</v>
      </c>
      <c r="T133" s="107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7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46182</v>
      </c>
      <c r="T134" s="107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7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46186</v>
      </c>
      <c r="T135" s="107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7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46186</v>
      </c>
      <c r="T136" s="107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5 días</v>
      </c>
      <c r="T137" s="107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7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Villarroel Justin</v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3:</v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[REQ004] Crear Perfil a Cliente</v>
      </c>
      <c r="T141" s="107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Administrador necesita registrar un nuevo perfil para el cliente  así se podrá centralizar la creación de usuarios desde el taller físico.</v>
      </c>
      <c r="T142" s="107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7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46182</v>
      </c>
      <c r="T143" s="107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7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46186</v>
      </c>
      <c r="T144" s="107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7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46186</v>
      </c>
      <c r="T145" s="107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5 días</v>
      </c>
      <c r="T146" s="107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7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Lasso Sebastian</v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2:</v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[REQ003] Registrar perfil</v>
      </c>
      <c r="T150" s="107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Administrador, cliente necesita registrar un nuevo perfil  así se podrá tener una cuenta en el sistema ingresando mi información requerida.</v>
      </c>
      <c r="T151" s="107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7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46182</v>
      </c>
      <c r="T152" s="107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7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46186</v>
      </c>
      <c r="T153" s="107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7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46186</v>
      </c>
      <c r="T154" s="107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5 días</v>
      </c>
      <c r="T155" s="107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7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Valencia Yuliana</v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1:</v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[REQ001] Iniciar Sesión</v>
      </c>
      <c r="T159" s="107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Administrador, técnico, cliente podrán iniciar sesión en la plataforma, así se podrá tener acceso a los distintos tipos de gestiones según mi rol.</v>
      </c>
      <c r="T160" s="107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7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46182</v>
      </c>
      <c r="T161" s="107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7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46186</v>
      </c>
      <c r="T162" s="107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7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46186</v>
      </c>
      <c r="T163" s="107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5 días</v>
      </c>
      <c r="T164" s="107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7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Villarroel Justin</v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7" priority="1" stopIfTrue="1">
      <formula>AND(B6=miCabeceraRetraso&amp;":",IFERROR(--LEFT(C6,FIND(" ",C6)-1),0)&gt;0)</formula>
    </cfRule>
    <cfRule type="expression" dxfId="16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5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16" activePane="bottomLeft" state="frozen"/>
      <selection pane="bottomLeft" activeCell="C22" sqref="C22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3320312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6640625" style="3" customWidth="1"/>
    <col min="12" max="16384" width="10.664062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57.6" x14ac:dyDescent="0.3">
      <c r="A2" s="91" t="s">
        <v>2</v>
      </c>
      <c r="B2" s="92" t="s">
        <v>3</v>
      </c>
      <c r="C2" s="102" t="s">
        <v>4</v>
      </c>
      <c r="D2" s="102" t="s">
        <v>5</v>
      </c>
      <c r="E2" s="103">
        <v>46182</v>
      </c>
      <c r="F2" s="93">
        <v>46186</v>
      </c>
      <c r="G2" s="93">
        <v>46186</v>
      </c>
      <c r="H2" s="43" t="str">
        <f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57.6" x14ac:dyDescent="0.3">
      <c r="A3" s="94" t="s">
        <v>2</v>
      </c>
      <c r="B3" s="95" t="s">
        <v>3</v>
      </c>
      <c r="C3" s="95" t="s">
        <v>7</v>
      </c>
      <c r="D3" s="104" t="s">
        <v>8</v>
      </c>
      <c r="E3" s="105">
        <v>46182</v>
      </c>
      <c r="F3" s="96">
        <v>46186</v>
      </c>
      <c r="G3" s="96">
        <v>46186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57.6" x14ac:dyDescent="0.3">
      <c r="A4" s="91" t="s">
        <v>2</v>
      </c>
      <c r="B4" s="92" t="s">
        <v>3</v>
      </c>
      <c r="C4" s="92" t="s">
        <v>10</v>
      </c>
      <c r="D4" s="102" t="s">
        <v>11</v>
      </c>
      <c r="E4" s="103">
        <v>46182</v>
      </c>
      <c r="F4" s="93">
        <v>46186</v>
      </c>
      <c r="G4" s="93">
        <v>46186</v>
      </c>
      <c r="H4" s="43" t="str">
        <f>IF(Datos!$G4&gt;0,Datos!$G4-Datos!$E4+1 &amp; " " &amp; Idiomas!$A$29,"")</f>
        <v>5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57.6" x14ac:dyDescent="0.3">
      <c r="A5" s="94" t="s">
        <v>2</v>
      </c>
      <c r="B5" s="95" t="s">
        <v>3</v>
      </c>
      <c r="C5" s="95" t="s">
        <v>13</v>
      </c>
      <c r="D5" s="104" t="s">
        <v>14</v>
      </c>
      <c r="E5" s="96">
        <v>46182</v>
      </c>
      <c r="F5" s="96">
        <v>46186</v>
      </c>
      <c r="G5" s="96">
        <v>46186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57.6" x14ac:dyDescent="0.3">
      <c r="A6" s="91" t="s">
        <v>2</v>
      </c>
      <c r="B6" s="92" t="s">
        <v>3</v>
      </c>
      <c r="C6" s="92" t="s">
        <v>15</v>
      </c>
      <c r="D6" s="102" t="s">
        <v>16</v>
      </c>
      <c r="E6" s="93">
        <v>46189</v>
      </c>
      <c r="F6" s="93">
        <v>46193</v>
      </c>
      <c r="G6" s="93">
        <v>46193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12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72" x14ac:dyDescent="0.3">
      <c r="A7" s="94" t="s">
        <v>2</v>
      </c>
      <c r="B7" s="95" t="s">
        <v>3</v>
      </c>
      <c r="C7" s="95" t="s">
        <v>17</v>
      </c>
      <c r="D7" s="104" t="s">
        <v>18</v>
      </c>
      <c r="E7" s="96">
        <v>46189</v>
      </c>
      <c r="F7" s="96">
        <v>46193</v>
      </c>
      <c r="G7" s="96">
        <v>46193</v>
      </c>
      <c r="H7" s="45" t="str">
        <f>IF(Datos!$G7&gt;0,Datos!$G7-Datos!$E7+1 &amp; " " &amp; Idiomas!$A$29,"")</f>
        <v>5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72" x14ac:dyDescent="0.3">
      <c r="A8" s="91" t="s">
        <v>2</v>
      </c>
      <c r="B8" s="92" t="s">
        <v>3</v>
      </c>
      <c r="C8" s="92" t="s">
        <v>19</v>
      </c>
      <c r="D8" s="102" t="s">
        <v>20</v>
      </c>
      <c r="E8" s="93">
        <v>46189</v>
      </c>
      <c r="F8" s="93">
        <v>46193</v>
      </c>
      <c r="G8" s="93">
        <v>46193</v>
      </c>
      <c r="H8" s="43" t="str">
        <f>IF(Datos!$G8&gt;0,Datos!$G8-Datos!$E8+1 &amp; " " &amp; Idiomas!$A$29,"")</f>
        <v>5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6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57.6" x14ac:dyDescent="0.3">
      <c r="A9" s="94" t="s">
        <v>2</v>
      </c>
      <c r="B9" s="95" t="s">
        <v>3</v>
      </c>
      <c r="C9" s="104" t="s">
        <v>21</v>
      </c>
      <c r="D9" s="104" t="s">
        <v>22</v>
      </c>
      <c r="E9" s="96">
        <v>46189</v>
      </c>
      <c r="F9" s="96">
        <v>46193</v>
      </c>
      <c r="G9" s="96">
        <v>46193</v>
      </c>
      <c r="H9" s="45" t="str">
        <f>IF(Datos!$G9&gt;0,Datos!$G9-Datos!$E9+1 &amp; " " &amp; Idiomas!$A$29,"")</f>
        <v>5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12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57.6" x14ac:dyDescent="0.3">
      <c r="A10" s="91" t="s">
        <v>2</v>
      </c>
      <c r="B10" s="92" t="s">
        <v>3</v>
      </c>
      <c r="C10" s="92" t="s">
        <v>23</v>
      </c>
      <c r="D10" s="102" t="s">
        <v>24</v>
      </c>
      <c r="E10" s="93">
        <v>46196</v>
      </c>
      <c r="F10" s="93">
        <v>46200</v>
      </c>
      <c r="G10" s="93">
        <v>46200</v>
      </c>
      <c r="H10" s="43" t="str">
        <f>IF(Datos!$G10&gt;0,Datos!$G10-Datos!$E10+1 &amp; " " &amp; Idiomas!$A$29,"")</f>
        <v>5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57.6" x14ac:dyDescent="0.3">
      <c r="A11" s="94" t="s">
        <v>2</v>
      </c>
      <c r="B11" s="95" t="s">
        <v>3</v>
      </c>
      <c r="C11" s="95" t="s">
        <v>25</v>
      </c>
      <c r="D11" s="104" t="s">
        <v>26</v>
      </c>
      <c r="E11" s="97">
        <v>46196</v>
      </c>
      <c r="F11" s="96">
        <v>46200</v>
      </c>
      <c r="G11" s="96">
        <v>46200</v>
      </c>
      <c r="H11" s="45" t="str">
        <f>IF(Datos!$G11&gt;0,Datos!$G11-Datos!$E11+1 &amp; " " &amp; Idiomas!$A$29,"")</f>
        <v>5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57.6" x14ac:dyDescent="0.3">
      <c r="A12" s="91" t="s">
        <v>2</v>
      </c>
      <c r="B12" s="92" t="s">
        <v>3</v>
      </c>
      <c r="C12" s="92" t="s">
        <v>27</v>
      </c>
      <c r="D12" s="102" t="s">
        <v>28</v>
      </c>
      <c r="E12" s="98">
        <v>46196</v>
      </c>
      <c r="F12" s="93">
        <v>46200</v>
      </c>
      <c r="G12" s="93">
        <v>46200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57.6" x14ac:dyDescent="0.3">
      <c r="A13" s="94" t="s">
        <v>2</v>
      </c>
      <c r="B13" s="95" t="s">
        <v>3</v>
      </c>
      <c r="C13" s="95" t="s">
        <v>29</v>
      </c>
      <c r="D13" s="104" t="s">
        <v>30</v>
      </c>
      <c r="E13" s="96">
        <v>46196</v>
      </c>
      <c r="F13" s="96">
        <v>46200</v>
      </c>
      <c r="G13" s="96">
        <v>46200</v>
      </c>
      <c r="H13" s="45" t="str">
        <f>IF(Datos!$G13&gt;0,Datos!$G13-Datos!$E13+1 &amp; " " &amp; Idiomas!$A$29,"")</f>
        <v>5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2" x14ac:dyDescent="0.3">
      <c r="A14" s="91" t="s">
        <v>2</v>
      </c>
      <c r="B14" s="92" t="s">
        <v>3</v>
      </c>
      <c r="C14" s="92" t="s">
        <v>32</v>
      </c>
      <c r="D14" s="102" t="s">
        <v>33</v>
      </c>
      <c r="E14" s="93">
        <v>46203</v>
      </c>
      <c r="F14" s="93">
        <v>46207</v>
      </c>
      <c r="G14" s="93">
        <v>46207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57.6" x14ac:dyDescent="0.3">
      <c r="A15" s="94" t="s">
        <v>2</v>
      </c>
      <c r="B15" s="95" t="s">
        <v>3</v>
      </c>
      <c r="C15" s="95" t="s">
        <v>34</v>
      </c>
      <c r="D15" s="104" t="s">
        <v>35</v>
      </c>
      <c r="E15" s="96">
        <v>46203</v>
      </c>
      <c r="F15" s="96">
        <v>46207</v>
      </c>
      <c r="G15" s="96">
        <v>46207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12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57.6" x14ac:dyDescent="0.3">
      <c r="A16" s="91" t="s">
        <v>2</v>
      </c>
      <c r="B16" s="92" t="s">
        <v>3</v>
      </c>
      <c r="C16" s="102" t="s">
        <v>36</v>
      </c>
      <c r="D16" s="102" t="s">
        <v>37</v>
      </c>
      <c r="E16" s="93">
        <v>46203</v>
      </c>
      <c r="F16" s="93">
        <v>46207</v>
      </c>
      <c r="G16" s="93">
        <v>46207</v>
      </c>
      <c r="H16" s="43" t="str">
        <f>IF(Datos!$G16&gt;0,Datos!$G16-Datos!$E16+1 &amp; " " &amp; Idiomas!$A$29,"")</f>
        <v>5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72" x14ac:dyDescent="0.3">
      <c r="A17" s="94" t="s">
        <v>2</v>
      </c>
      <c r="B17" s="95" t="s">
        <v>3</v>
      </c>
      <c r="C17" s="104" t="s">
        <v>39</v>
      </c>
      <c r="D17" s="104" t="s">
        <v>40</v>
      </c>
      <c r="E17" s="96">
        <v>46210</v>
      </c>
      <c r="F17" s="96">
        <v>46214</v>
      </c>
      <c r="G17" s="96">
        <v>46214</v>
      </c>
      <c r="H17" s="45" t="str">
        <f>IF(Datos!$G17&gt;0,Datos!$G17-Datos!$E17+1 &amp; " " &amp; Idiomas!$A$29,"")</f>
        <v>5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9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72" x14ac:dyDescent="0.3">
      <c r="A18" s="91" t="s">
        <v>2</v>
      </c>
      <c r="B18" s="92" t="s">
        <v>3</v>
      </c>
      <c r="C18" s="102" t="s">
        <v>41</v>
      </c>
      <c r="D18" s="102" t="s">
        <v>42</v>
      </c>
      <c r="E18" s="93">
        <v>46210</v>
      </c>
      <c r="F18" s="93">
        <v>46214</v>
      </c>
      <c r="G18" s="93">
        <v>46214</v>
      </c>
      <c r="H18" s="43" t="str">
        <f>IF(Datos!$G18&gt;0,Datos!$G18-Datos!$E18+1 &amp; " " &amp; Idiomas!$A$29,"")</f>
        <v>5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12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57.6" x14ac:dyDescent="0.3">
      <c r="A19" s="94" t="s">
        <v>2</v>
      </c>
      <c r="B19" s="95" t="s">
        <v>3</v>
      </c>
      <c r="C19" s="104" t="s">
        <v>43</v>
      </c>
      <c r="D19" s="104" t="s">
        <v>44</v>
      </c>
      <c r="E19" s="96">
        <v>46210</v>
      </c>
      <c r="F19" s="96">
        <v>46214</v>
      </c>
      <c r="G19" s="96">
        <v>46214</v>
      </c>
      <c r="H19" s="45" t="str">
        <f>IF(Datos!$G19&gt;0,Datos!$G19-Datos!$E19+1 &amp; " " &amp; Idiomas!$A$29,"")</f>
        <v>5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12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5" priority="5" stopIfTrue="1">
      <formula>AND($A5&lt;&gt;"",$E5="")</formula>
    </cfRule>
  </conditionalFormatting>
  <conditionalFormatting sqref="F14:G14">
    <cfRule type="expression" dxfId="4" priority="3" stopIfTrue="1">
      <formula>AND($A14&lt;&gt;"",$E14="")</formula>
    </cfRule>
  </conditionalFormatting>
  <conditionalFormatting sqref="F16:G16">
    <cfRule type="expression" dxfId="3" priority="1" stopIfTrue="1">
      <formula>AND($A16&lt;&gt;"",$E16="")</formula>
    </cfRule>
  </conditionalFormatting>
  <conditionalFormatting sqref="I2:I101">
    <cfRule type="expression" dxfId="2" priority="4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3" sqref="F13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6640625" style="2" hidden="1"/>
  </cols>
  <sheetData>
    <row r="1" spans="2:9" ht="15" customHeight="1" x14ac:dyDescent="0.3"/>
    <row r="2" spans="2:9" ht="15" customHeight="1" x14ac:dyDescent="0.3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45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">
      <c r="E3" s="8" t="s">
        <v>46</v>
      </c>
      <c r="F3" s="113" t="s">
        <v>47</v>
      </c>
      <c r="G3" s="113"/>
      <c r="H3" s="113"/>
    </row>
    <row r="4" spans="2:9" x14ac:dyDescent="0.3">
      <c r="B4" s="89" t="str">
        <f>Idiomas!$A$3</f>
        <v>Idioma</v>
      </c>
      <c r="E4" s="8" t="s">
        <v>48</v>
      </c>
      <c r="F4" s="114" t="s">
        <v>49</v>
      </c>
      <c r="G4" s="114"/>
      <c r="H4" s="114"/>
    </row>
    <row r="5" spans="2:9" ht="15" customHeight="1" x14ac:dyDescent="0.3">
      <c r="B5" s="90" t="s">
        <v>50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51</v>
      </c>
    </row>
    <row r="9" spans="2:9" x14ac:dyDescent="0.3">
      <c r="B9" s="75" t="s">
        <v>38</v>
      </c>
      <c r="D9" s="72" t="s">
        <v>52</v>
      </c>
      <c r="F9" s="68" t="s">
        <v>12</v>
      </c>
      <c r="H9" s="66" t="str">
        <f>Idiomas!$A$12</f>
        <v>Tarea</v>
      </c>
      <c r="I9" s="85">
        <v>1</v>
      </c>
    </row>
    <row r="10" spans="2:9" x14ac:dyDescent="0.3">
      <c r="B10" s="76" t="s">
        <v>31</v>
      </c>
      <c r="D10" s="73" t="s">
        <v>3</v>
      </c>
      <c r="F10" s="69" t="s">
        <v>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53</v>
      </c>
      <c r="D11" s="74" t="s">
        <v>54</v>
      </c>
      <c r="F11" s="70" t="s">
        <v>6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/>
      <c r="H12" s="67" t="str">
        <f>Idiomas!$A$15</f>
        <v>Previsto</v>
      </c>
      <c r="I12" s="87">
        <v>4</v>
      </c>
    </row>
    <row r="13" spans="2:9" x14ac:dyDescent="0.3">
      <c r="B13" s="77" t="s">
        <v>55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38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31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56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53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0" t="s">
        <v>57</v>
      </c>
      <c r="C23" s="111"/>
      <c r="D23" s="112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6640625" style="2" customWidth="1"/>
    <col min="2" max="2" width="9.664062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664062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58</v>
      </c>
      <c r="F1" s="50" t="s">
        <v>59</v>
      </c>
      <c r="G1" s="50" t="s">
        <v>60</v>
      </c>
      <c r="H1" s="50" t="s">
        <v>61</v>
      </c>
      <c r="I1" s="50" t="s">
        <v>62</v>
      </c>
      <c r="J1" s="50" t="s">
        <v>63</v>
      </c>
      <c r="K1" s="50" t="s">
        <v>64</v>
      </c>
      <c r="L1" s="50" t="s">
        <v>65</v>
      </c>
      <c r="M1" s="50" t="s">
        <v>66</v>
      </c>
      <c r="N1" s="50" t="s">
        <v>67</v>
      </c>
      <c r="O1" s="50" t="str">
        <f>Idiomas!$A$21</f>
        <v>Celda</v>
      </c>
      <c r="P1" s="51" t="s">
        <v>68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R-159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R-159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R159:R166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R-150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R-150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R150:R157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R-141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R-141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R141:R148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R-132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R-132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R132:R139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R-123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R-123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R123:R130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R-114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R-114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R114:R121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R-105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R-105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R105:R112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R-96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R-96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R96:R103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R-87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R-87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R87:R94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R-78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R-78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R78:R85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R-69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R-69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R69:R76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R-60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R-60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R60:R67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R-51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R-51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R51:R58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R-42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R-42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R42:R49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R-33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R-33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R33:R40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R-24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R-24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R24:R31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R-15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R15:R22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R-6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R-6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R6:R13</v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664062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18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18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18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18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18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18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18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18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18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17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17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6640625" style="2" hidden="1"/>
  </cols>
  <sheetData>
    <row r="1" spans="1:7" x14ac:dyDescent="0.3">
      <c r="A1" s="27">
        <f>IFERROR(MATCH(miIdioma,misIdiomas,0),1)</f>
        <v>1</v>
      </c>
      <c r="B1" s="2" t="s">
        <v>50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</row>
    <row r="2" spans="1:7" x14ac:dyDescent="0.3">
      <c r="A2" s="32" t="str" cm="1">
        <f t="array" ref="A2">INDEX(TablaIdiomas[#This Row],1,$A$1)&amp;""</f>
        <v>Tablero KANBAN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</row>
    <row r="3" spans="1:7" x14ac:dyDescent="0.3">
      <c r="A3" s="36" t="str" cm="1">
        <f t="array" ref="A3">INDEX(TablaIdiomas[#This Row],1,$A$1)&amp;""</f>
        <v>Idioma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 x14ac:dyDescent="0.3">
      <c r="A4" s="32" t="str" cm="1">
        <f t="array" ref="A4">INDEX(TablaIdiomas[#This Row],1,$A$1)&amp;""</f>
        <v>AVISO: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86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91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</row>
    <row r="7" spans="1:7" x14ac:dyDescent="0.3">
      <c r="A7" s="36" t="str" cm="1">
        <f t="array" ref="A7">INDEX(TablaIdiomas[#This Row],1,$A$1)&amp;""</f>
        <v>Estados</v>
      </c>
      <c r="B7" s="2" t="s">
        <v>103</v>
      </c>
      <c r="C7" s="2" t="s">
        <v>104</v>
      </c>
      <c r="D7" s="2" t="s">
        <v>105</v>
      </c>
      <c r="E7" s="2" t="s">
        <v>106</v>
      </c>
      <c r="F7" s="2" t="s">
        <v>107</v>
      </c>
      <c r="G7" s="2" t="s">
        <v>103</v>
      </c>
    </row>
    <row r="8" spans="1:7" x14ac:dyDescent="0.3">
      <c r="A8" s="32" t="str" cm="1">
        <f t="array" ref="A8">INDEX(TablaIdiomas[#This Row],1,$A$1)&amp;""</f>
        <v>Criticidad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113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114</v>
      </c>
      <c r="C9" s="2" t="s">
        <v>115</v>
      </c>
      <c r="D9" s="2" t="s">
        <v>116</v>
      </c>
      <c r="E9" s="2" t="s">
        <v>117</v>
      </c>
      <c r="F9" s="2" t="s">
        <v>118</v>
      </c>
      <c r="G9" s="2" t="s">
        <v>119</v>
      </c>
    </row>
    <row r="10" spans="1:7" x14ac:dyDescent="0.3">
      <c r="A10" s="32" t="str" cm="1">
        <f t="array" ref="A10">INDEX(TablaIdiomas[#This Row],1,$A$1)&amp;""</f>
        <v>Estado final</v>
      </c>
      <c r="B10" s="2" t="s">
        <v>120</v>
      </c>
      <c r="C10" s="2" t="s">
        <v>121</v>
      </c>
      <c r="D10" s="2" t="s">
        <v>122</v>
      </c>
      <c r="E10" s="2" t="s">
        <v>123</v>
      </c>
      <c r="F10" s="2" t="s">
        <v>124</v>
      </c>
      <c r="G10" s="2" t="s">
        <v>120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125</v>
      </c>
      <c r="C11" s="2" t="s">
        <v>126</v>
      </c>
      <c r="D11" s="2" t="s">
        <v>127</v>
      </c>
      <c r="E11" s="2" t="s">
        <v>128</v>
      </c>
      <c r="F11" s="2" t="s">
        <v>129</v>
      </c>
      <c r="G11" s="2" t="s">
        <v>130</v>
      </c>
    </row>
    <row r="12" spans="1:7" x14ac:dyDescent="0.3">
      <c r="A12" s="32" t="str" cm="1">
        <f t="array" ref="A12">INDEX(TablaIdiomas[#This Row],1,$A$1)&amp;""</f>
        <v>Tarea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136</v>
      </c>
    </row>
    <row r="13" spans="1:7" x14ac:dyDescent="0.3">
      <c r="A13" s="36" t="str" cm="1">
        <f t="array" ref="A13">INDEX(TablaIdiomas[#This Row],1,$A$1)&amp;""</f>
        <v>Descripción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140</v>
      </c>
      <c r="G13" s="2" t="s">
        <v>141</v>
      </c>
    </row>
    <row r="14" spans="1:7" x14ac:dyDescent="0.3">
      <c r="A14" s="32" t="str" cm="1">
        <f t="array" ref="A14">INDEX(TablaIdiomas[#This Row],1,$A$1)&amp;""</f>
        <v>Inicio</v>
      </c>
      <c r="B14" s="2" t="s">
        <v>142</v>
      </c>
      <c r="C14" s="2" t="s">
        <v>143</v>
      </c>
      <c r="D14" s="2" t="s">
        <v>144</v>
      </c>
      <c r="E14" s="2" t="s">
        <v>145</v>
      </c>
      <c r="F14" s="2" t="s">
        <v>143</v>
      </c>
      <c r="G14" s="2" t="s">
        <v>146</v>
      </c>
    </row>
    <row r="15" spans="1:7" x14ac:dyDescent="0.3">
      <c r="A15" s="36" t="str" cm="1">
        <f t="array" ref="A15">INDEX(TablaIdiomas[#This Row],1,$A$1)&amp;""</f>
        <v>Previsto</v>
      </c>
      <c r="B15" s="2" t="s">
        <v>147</v>
      </c>
      <c r="C15" s="2" t="s">
        <v>148</v>
      </c>
      <c r="D15" s="2" t="s">
        <v>149</v>
      </c>
      <c r="E15" s="2" t="s">
        <v>150</v>
      </c>
      <c r="F15" s="2" t="s">
        <v>151</v>
      </c>
      <c r="G15" s="2" t="s">
        <v>152</v>
      </c>
    </row>
    <row r="16" spans="1:7" x14ac:dyDescent="0.3">
      <c r="A16" s="32" t="str" cm="1">
        <f t="array" ref="A16">INDEX(TablaIdiomas[#This Row],1,$A$1)&amp;""</f>
        <v>Final</v>
      </c>
      <c r="B16" s="2" t="s">
        <v>153</v>
      </c>
      <c r="C16" s="2" t="s">
        <v>153</v>
      </c>
      <c r="D16" s="2" t="s">
        <v>154</v>
      </c>
      <c r="E16" s="2" t="s">
        <v>154</v>
      </c>
      <c r="F16" s="2" t="s">
        <v>154</v>
      </c>
      <c r="G16" s="2" t="s">
        <v>153</v>
      </c>
    </row>
    <row r="17" spans="1:7" x14ac:dyDescent="0.3">
      <c r="A17" s="36" t="str" cm="1">
        <f t="array" ref="A17">INDEX(TablaIdiomas[#This Row],1,$A$1)&amp;""</f>
        <v>Duración</v>
      </c>
      <c r="B17" s="2" t="s">
        <v>155</v>
      </c>
      <c r="C17" s="2" t="s">
        <v>156</v>
      </c>
      <c r="D17" s="2" t="s">
        <v>157</v>
      </c>
      <c r="E17" s="2" t="s">
        <v>158</v>
      </c>
      <c r="F17" s="2" t="s">
        <v>159</v>
      </c>
      <c r="G17" s="2" t="s">
        <v>160</v>
      </c>
    </row>
    <row r="18" spans="1:7" x14ac:dyDescent="0.3">
      <c r="A18" s="32" t="str" cm="1">
        <f t="array" ref="A18">INDEX(TablaIdiomas[#This Row],1,$A$1)&amp;""</f>
        <v>Retraso</v>
      </c>
      <c r="B18" s="2" t="s">
        <v>161</v>
      </c>
      <c r="C18" s="2" t="s">
        <v>162</v>
      </c>
      <c r="D18" s="2" t="s">
        <v>163</v>
      </c>
      <c r="E18" s="2" t="s">
        <v>164</v>
      </c>
      <c r="F18" s="2" t="s">
        <v>165</v>
      </c>
      <c r="G18" s="2" t="s">
        <v>166</v>
      </c>
    </row>
    <row r="19" spans="1:7" x14ac:dyDescent="0.3">
      <c r="A19" s="36" t="str" cm="1">
        <f t="array" ref="A19">INDEX(TablaIdiomas[#This Row],1,$A$1)&amp;""</f>
        <v>Asignado</v>
      </c>
      <c r="B19" s="2" t="s">
        <v>167</v>
      </c>
      <c r="C19" s="2" t="s">
        <v>168</v>
      </c>
      <c r="D19" s="2" t="s">
        <v>169</v>
      </c>
      <c r="E19" s="2" t="s">
        <v>170</v>
      </c>
      <c r="F19" s="2" t="s">
        <v>171</v>
      </c>
      <c r="G19" s="2" t="s">
        <v>172</v>
      </c>
    </row>
    <row r="20" spans="1:7" x14ac:dyDescent="0.3">
      <c r="A20" s="32" t="str" cm="1">
        <f t="array" ref="A20">INDEX(TablaIdiomas[#This Row],1,$A$1)&amp;""</f>
        <v>Filtro</v>
      </c>
      <c r="B20" s="2" t="s">
        <v>173</v>
      </c>
      <c r="C20" s="2" t="s">
        <v>174</v>
      </c>
      <c r="D20" s="2" t="s">
        <v>175</v>
      </c>
      <c r="E20" s="2" t="s">
        <v>173</v>
      </c>
      <c r="F20" s="2" t="s">
        <v>174</v>
      </c>
      <c r="G20" s="2" t="s">
        <v>173</v>
      </c>
    </row>
    <row r="21" spans="1:7" x14ac:dyDescent="0.3">
      <c r="A21" s="36" t="str" cm="1">
        <f t="array" ref="A21">INDEX(TablaIdiomas[#This Row],1,$A$1)&amp;""</f>
        <v>Celda</v>
      </c>
      <c r="B21" s="2" t="s">
        <v>176</v>
      </c>
      <c r="C21" s="2" t="s">
        <v>177</v>
      </c>
      <c r="D21" s="2" t="s">
        <v>178</v>
      </c>
      <c r="E21" s="2" t="s">
        <v>179</v>
      </c>
      <c r="F21" s="2" t="s">
        <v>180</v>
      </c>
      <c r="G21" s="2" t="s">
        <v>181</v>
      </c>
    </row>
    <row r="22" spans="1:7" x14ac:dyDescent="0.3">
      <c r="A22" s="32" t="str" cm="1">
        <f t="array" ref="A22">INDEX(TablaIdiomas[#This Row],1,$A$1)&amp;""</f>
        <v>Tarjetas con</v>
      </c>
      <c r="B22" s="2" t="s">
        <v>182</v>
      </c>
      <c r="C22" s="2" t="s">
        <v>183</v>
      </c>
      <c r="D22" s="2" t="s">
        <v>184</v>
      </c>
      <c r="E22" s="2" t="s">
        <v>185</v>
      </c>
      <c r="F22" s="2" t="s">
        <v>186</v>
      </c>
      <c r="G22" s="2" t="s">
        <v>187</v>
      </c>
    </row>
    <row r="23" spans="1:7" x14ac:dyDescent="0.3">
      <c r="A23" s="36" t="str" cm="1">
        <f t="array" ref="A23">INDEX(TablaIdiomas[#This Row],1,$A$1)&amp;""</f>
        <v>líneas</v>
      </c>
      <c r="B23" s="2" t="s">
        <v>188</v>
      </c>
      <c r="C23" s="2" t="s">
        <v>189</v>
      </c>
      <c r="D23" s="2" t="s">
        <v>190</v>
      </c>
      <c r="E23" s="2" t="s">
        <v>191</v>
      </c>
      <c r="F23" s="2" t="s">
        <v>192</v>
      </c>
      <c r="G23" s="2" t="s">
        <v>193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194</v>
      </c>
      <c r="C24" s="2" t="s">
        <v>195</v>
      </c>
      <c r="D24" s="2" t="s">
        <v>196</v>
      </c>
      <c r="E24" s="2" t="s">
        <v>197</v>
      </c>
      <c r="F24" s="2" t="s">
        <v>198</v>
      </c>
      <c r="G24" s="2" t="s">
        <v>199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200</v>
      </c>
      <c r="C25" s="2" t="s">
        <v>201</v>
      </c>
      <c r="D25" s="2" t="s">
        <v>202</v>
      </c>
      <c r="E25" s="2" t="s">
        <v>203</v>
      </c>
      <c r="F25" s="2" t="s">
        <v>204</v>
      </c>
      <c r="G25" s="2" t="s">
        <v>205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206</v>
      </c>
      <c r="C26" s="2" t="s">
        <v>207</v>
      </c>
      <c r="D26" s="2" t="s">
        <v>208</v>
      </c>
      <c r="E26" s="2" t="s">
        <v>209</v>
      </c>
      <c r="F26" s="2" t="s">
        <v>210</v>
      </c>
      <c r="G26" s="2" t="s">
        <v>211</v>
      </c>
    </row>
    <row r="27" spans="1:7" x14ac:dyDescent="0.3">
      <c r="A27" s="36" t="str" cm="1">
        <f t="array" ref="A27">INDEX(TablaIdiomas[#This Row],1,$A$1)&amp;""</f>
        <v>Con el texto</v>
      </c>
      <c r="B27" s="2" t="s">
        <v>212</v>
      </c>
      <c r="C27" s="2" t="s">
        <v>213</v>
      </c>
      <c r="D27" s="2" t="s">
        <v>214</v>
      </c>
      <c r="E27" s="2" t="s">
        <v>215</v>
      </c>
      <c r="F27" s="2" t="s">
        <v>216</v>
      </c>
      <c r="G27" s="2" t="s">
        <v>217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218</v>
      </c>
      <c r="C28" s="2" t="s">
        <v>219</v>
      </c>
      <c r="D28" s="2" t="s">
        <v>220</v>
      </c>
      <c r="E28" s="2" t="s">
        <v>221</v>
      </c>
      <c r="F28" s="2" t="s">
        <v>222</v>
      </c>
      <c r="G28" s="2" t="s">
        <v>223</v>
      </c>
    </row>
    <row r="29" spans="1:7" x14ac:dyDescent="0.3">
      <c r="A29" s="36" t="str" cm="1">
        <f t="array" ref="A29">INDEX(TablaIdiomas[#This Row],1,$A$1)&amp;""</f>
        <v>días</v>
      </c>
      <c r="B29" s="2" t="s">
        <v>224</v>
      </c>
      <c r="C29" s="2" t="s">
        <v>225</v>
      </c>
      <c r="D29" s="2" t="s">
        <v>226</v>
      </c>
      <c r="E29" s="2" t="s">
        <v>227</v>
      </c>
      <c r="F29" s="2" t="s">
        <v>228</v>
      </c>
      <c r="G29" s="2" t="s">
        <v>229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230</v>
      </c>
      <c r="C30" s="2" t="s">
        <v>231</v>
      </c>
      <c r="D30" s="2" t="s">
        <v>232</v>
      </c>
      <c r="E30" s="2" t="s">
        <v>233</v>
      </c>
      <c r="F30" s="2" t="s">
        <v>234</v>
      </c>
      <c r="G30" s="2" t="s">
        <v>235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236</v>
      </c>
      <c r="C31" s="2" t="s">
        <v>237</v>
      </c>
      <c r="D31" s="2" t="s">
        <v>238</v>
      </c>
      <c r="E31" s="2" t="s">
        <v>239</v>
      </c>
      <c r="F31" s="2" t="s">
        <v>240</v>
      </c>
      <c r="G31" s="2" t="s">
        <v>241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242</v>
      </c>
      <c r="C32" s="2" t="s">
        <v>243</v>
      </c>
      <c r="D32" s="2" t="s">
        <v>244</v>
      </c>
      <c r="E32" s="2" t="s">
        <v>245</v>
      </c>
      <c r="F32" s="2" t="s">
        <v>246</v>
      </c>
      <c r="G32" s="2" t="s">
        <v>247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248</v>
      </c>
      <c r="C33" s="2" t="s">
        <v>249</v>
      </c>
      <c r="D33" s="2" t="s">
        <v>250</v>
      </c>
      <c r="E33" s="2" t="s">
        <v>251</v>
      </c>
      <c r="F33" s="2" t="s">
        <v>252</v>
      </c>
      <c r="G33" s="2" t="s">
        <v>253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70B9D439DDE546813D90F3B8B4DBAB" ma:contentTypeVersion="13" ma:contentTypeDescription="Crear nuevo documento." ma:contentTypeScope="" ma:versionID="b841deef3a979e2a2007a4a2385ffc90">
  <xsd:schema xmlns:xsd="http://www.w3.org/2001/XMLSchema" xmlns:xs="http://www.w3.org/2001/XMLSchema" xmlns:p="http://schemas.microsoft.com/office/2006/metadata/properties" xmlns:ns3="b36d5ce4-fb93-4e20-ac5f-77871f6a1f70" xmlns:ns4="a8c64c2c-2712-4198-95b2-d256c44e1621" targetNamespace="http://schemas.microsoft.com/office/2006/metadata/properties" ma:root="true" ma:fieldsID="8add94a5119e527cb0c8fef785619852" ns3:_="" ns4:_="">
    <xsd:import namespace="b36d5ce4-fb93-4e20-ac5f-77871f6a1f70"/>
    <xsd:import namespace="a8c64c2c-2712-4198-95b2-d256c44e16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d5ce4-fb93-4e20-ac5f-77871f6a1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64c2c-2712-4198-95b2-d256c44e1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6d5ce4-fb93-4e20-ac5f-77871f6a1f70" xsi:nil="true"/>
  </documentManagement>
</p:properties>
</file>

<file path=customXml/itemProps1.xml><?xml version="1.0" encoding="utf-8"?>
<ds:datastoreItem xmlns:ds="http://schemas.openxmlformats.org/officeDocument/2006/customXml" ds:itemID="{21981C39-DAC0-417D-A623-EF003C1B3A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37CBE5-E72E-4D8F-9461-34E3BA56D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6d5ce4-fb93-4e20-ac5f-77871f6a1f70"/>
    <ds:schemaRef ds:uri="a8c64c2c-2712-4198-95b2-d256c44e16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D3252A-F7B3-4B43-9B42-C77F5AF4C629}">
  <ds:schemaRefs>
    <ds:schemaRef ds:uri="http://schemas.microsoft.com/office/2006/metadata/properties"/>
    <ds:schemaRef ds:uri="http://schemas.microsoft.com/office/infopath/2007/PartnerControls"/>
    <ds:schemaRef ds:uri="b36d5ce4-fb93-4e20-ac5f-77871f6a1f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JUSTIN JOSHUA VILLARROEL BARRENO</cp:lastModifiedBy>
  <cp:revision>0</cp:revision>
  <dcterms:created xsi:type="dcterms:W3CDTF">2022-12-26T11:27:14Z</dcterms:created>
  <dcterms:modified xsi:type="dcterms:W3CDTF">2026-07-14T13:42:41Z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0x010100B370B9D439DDE546813D90F3B8B4DBAB</vt:lpwstr>
  </property>
</Properties>
</file>