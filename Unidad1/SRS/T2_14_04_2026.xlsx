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yavalencia1_espe_edu_ec/Documents/"/>
    </mc:Choice>
  </mc:AlternateContent>
  <xr:revisionPtr revIDLastSave="0" documentId="8_{F508C358-33DE-4947-94D0-072FD9876046}" xr6:coauthVersionLast="47" xr6:coauthVersionMax="47" xr10:uidLastSave="{00000000-0000-0000-0000-000000000000}"/>
  <bookViews>
    <workbookView xWindow="-108" yWindow="-108" windowWidth="23256" windowHeight="13176" firstSheet="4" activeTab="6" xr2:uid="{00000000-000D-0000-FFFF-FFFF00000000}"/>
  </bookViews>
  <sheets>
    <sheet name="Matriz Ckeck LIst" sheetId="1" r:id="rId1"/>
    <sheet name="MODELO LISTA DE COMPROBACION - " sheetId="2" r:id="rId2"/>
    <sheet name="MODELO LISTA DE COMPROBACIO CU0" sheetId="6" r:id="rId3"/>
    <sheet name="MODELO LISTA DE COMPROBACIO (3)" sheetId="7" r:id="rId4"/>
    <sheet name="CU001.3 Gestion de estadísticas" sheetId="9" r:id="rId5"/>
    <sheet name="RECOMENDACIONES - CU001.3 " sheetId="8" r:id="rId6"/>
    <sheet name="RECOMENDACIONES - CU000.4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7" l="1"/>
  <c r="D36" i="7" s="1"/>
  <c r="C35" i="7"/>
  <c r="C36" i="7" s="1"/>
  <c r="D27" i="7"/>
  <c r="D28" i="7" s="1"/>
  <c r="C27" i="7"/>
  <c r="C28" i="7" s="1"/>
  <c r="D17" i="7"/>
  <c r="D18" i="7" s="1"/>
  <c r="C17" i="7"/>
  <c r="C18" i="7" s="1"/>
  <c r="C36" i="6"/>
  <c r="D35" i="6"/>
  <c r="D36" i="6" s="1"/>
  <c r="C35" i="6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E749BD3-4A79-4B9E-A0F4-42192E05ED0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AE138338-22EE-48FD-A998-4BB4A31CF13A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10294E8-EE1F-41AE-A1EA-D2805E1F60C3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F4BC9803-6EB3-41F2-A638-D233D44CE30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EECB4367-A433-4FDA-B242-D43AC251040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C38CFC2C-12FA-4A7E-B6A8-89AE6526D30E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31CDF2FE-4C74-4123-8D37-668BFE6786A4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D5A3C1AB-0D61-412D-A624-9FBEC3719C93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547D15FD-C840-43CC-9C18-EDD3729BA0B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E01CB5B0-89F0-448E-AD25-F72343D7CEB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E70E63BA-EA5D-475B-AC56-432CB6752DCC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B8AE8E5D-6BBB-4A0F-B9F9-B1312C4A3B94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AF27048D-A97C-4E8A-9390-8C0BB7C97B6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6CFE3B71-CA8F-4F1B-9D3F-5772E91662E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9911CDEE-1CE1-43EF-B148-5088B27573CB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2CE9B58C-02FF-46B0-8734-70B865722E7E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E97B8CA3-884D-468D-9209-8CDA485CC772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96CA29CB-E4CB-4326-BF55-3EE335438FC7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<sst xmlns="http://schemas.openxmlformats.org/spreadsheetml/2006/main" count="306" uniqueCount="102">
  <si>
    <t>MATRIZ PARA COMPROBACIÓN REQUERIMIENTOS DE CALIDAD DE PROYECTO ACADEMICO</t>
  </si>
  <si>
    <t>SISTEMA:</t>
  </si>
  <si>
    <t>Sistema de Gestión y Control de Mantenimiento de Equipos Electrónicos</t>
  </si>
  <si>
    <t>Requerimientos  Funcionales</t>
  </si>
  <si>
    <t>Nº</t>
  </si>
  <si>
    <t>CRITERIOS DE CALIDAD (Documento/Requerimientos)</t>
  </si>
  <si>
    <t>Status
Nivel de Acuerdo</t>
  </si>
  <si>
    <t xml:space="preserve">
CU001.3 Gestion de estadísticas
</t>
  </si>
  <si>
    <t>Status Nivel de Acuerdo</t>
  </si>
  <si>
    <t>CU000.4.Gestionar Cliente</t>
  </si>
  <si>
    <t>CU000.3.Gestionar Mantenimientos</t>
  </si>
  <si>
    <t>Agreed</t>
  </si>
  <si>
    <t>OK</t>
  </si>
  <si>
    <t>1. Minuta de la entrevista donde se especifica la necesidad de estadísticas
2. Validación del cliente sobre reportes (volumen y tipos de mantenimiento)
3. Aceptación del equipo de desarrollo</t>
  </si>
  <si>
    <t>1.Aceptación por el grupo para la administración de perfiles.</t>
  </si>
  <si>
    <t>1. Videoconferencia de la entrevista
2. Minuta de la entrevista
3. Aceptación por videoconferencia</t>
  </si>
  <si>
    <t>Ranked</t>
  </si>
  <si>
    <t>1, En el SRS se define como prioridad Media/Deseada (no crítica pero importante para toma de decisiones)</t>
  </si>
  <si>
    <t>1. En la descripción del caso de Uso se especifica la prioridad Alta</t>
  </si>
  <si>
    <t>NOK</t>
  </si>
  <si>
    <t>Unambiguos</t>
  </si>
  <si>
    <t>1.  Redacción clara: “volumen de mantenimientos” y “tipos más recurrentes”                                                                              2. No genera ambigüedad en su interpretación</t>
  </si>
  <si>
    <t>1. Redacción en lenguaje claro.                      2. El equipo interpreta de igual manera el flujo de registro y consulta de clientes.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</si>
  <si>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</si>
  <si>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</si>
  <si>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Basado en la última entrevista con el cliente                                                                   2. Incluye requerimientos actuales de reportes estadísticos</t>
  </si>
  <si>
    <t>1. Toda nueva información ha sido incorporada.                                                       2. Se han incorporado validaciones de cédula y dominios de correo.</t>
  </si>
  <si>
    <t>1. Toda nueva información ha sido incorporada, se han incorporado los últimos cambios pedidos luego del feedback realizado por el cliente</t>
  </si>
  <si>
    <t>Correct</t>
  </si>
  <si>
    <t>1. Alineado con los objetivos del sistema (análisis y control)                                                                                                                                                                                                                       2. Refleja la necesidad del cliente de obtener estadísticas para decisiones</t>
  </si>
  <si>
    <t>1. Está alineado con los objetivos de administración y control del sistema.             2. Refleja lo que realmente necesita el cliente para gestionar su perfil.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</si>
  <si>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</si>
  <si>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</si>
  <si>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Usa terminología consistente con el sistema (mantenimientos, reportes, estadísticas)
2. Relacionado con otros módulos como gestión de mantenimientos                                            </t>
  </si>
  <si>
    <t>1. Documentación basada en modelos de Casos de Uso del DCC.                                      2. Usa términos definidos como "Administrador" y "Cliente".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</si>
  <si>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</si>
  <si>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</si>
  <si>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</si>
  <si>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1. Requisito Medible mediante validación de formatos (Cédula, Correo).                               2. Faltan Casos de Prueba para los flujos de excepciones.</t>
  </si>
  <si>
    <t>Realizable</t>
  </si>
  <si>
    <t>1. No se ha desarrollado</t>
  </si>
  <si>
    <t>1. Funcionalidad tomada en cuenta dentro de la ingeniería de requisitos del proyecto.        2. No se ha desarrollado aún la lógica de persistencia en la base de datos.</t>
  </si>
  <si>
    <t>1. Funcionalidad tomada en cuenta dentro de la estimación del costo del proyecto (900$)
2. No se ha desarrollado</t>
  </si>
  <si>
    <t>Traceable</t>
  </si>
  <si>
    <t>1. Relacionado con RF19 y RF20 del SRS2. Cuenta con un identificador único</t>
  </si>
  <si>
    <t>1. Es claro el origen del requisito en el módulo de Administración.                              2. Cuenta con identificadores únicos (CU3, CU4, CU15, CU16).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</si>
  <si>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</si>
  <si>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</si>
  <si>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</si>
  <si>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 como cédula/correo, salidas, precondiciones y postcondiciones).                 2. Describe completamente la funcionalidad de registro y edición.</t>
  </si>
  <si>
    <t>Understandability</t>
  </si>
  <si>
    <t>1. Se involucra al cliente permitiéndole gestionar su propio perfil. 
2. Pasos estructurados en la secuencia normal de eventos</t>
  </si>
  <si>
    <t>1. Se involucra al cliente
2. Existe glosario de términos</t>
  </si>
  <si>
    <t>FECHA:</t>
  </si>
  <si>
    <t>AUTOR:</t>
  </si>
  <si>
    <t>Sebastián Lasso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</si>
  <si>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</si>
  <si>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</si>
  <si>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</si>
  <si>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</si>
  <si>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</si>
  <si>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</si>
  <si>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</si>
  <si>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</si>
  <si>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</si>
  <si>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</si>
  <si>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</si>
  <si>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</si>
  <si>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</si>
  <si>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</si>
  <si>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</si>
  <si>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</si>
  <si>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</si>
  <si>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</si>
  <si>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</si>
  <si>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</si>
  <si>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</si>
  <si>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</si>
  <si>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</si>
  <si>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</si>
  <si>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</si>
  <si>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</si>
  <si>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</si>
  <si>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</si>
  <si>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</si>
  <si>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</si>
  <si>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Yuliana Valencia</t>
  </si>
  <si>
    <t>CU000.4 Gestionar Datos de conejos</t>
  </si>
  <si>
    <t>Villarroel Justin</t>
  </si>
  <si>
    <t>CU000.3 Gestionar Mantenimientos</t>
  </si>
  <si>
    <t xml:space="preserve">CU001.3 Gestion de estadísticas
</t>
  </si>
  <si>
    <t>PREGUNTA</t>
  </si>
  <si>
    <t>RECOMENDACIÓN</t>
  </si>
  <si>
    <t>¿Se han validado y aprobado formalmente todos los entregables de la entrevista (videoconferencia, minuta, acta de aceptación)?</t>
  </si>
  <si>
    <t>Actualmente no se cuenta con evidencia formal de validación y aprobación de todos los entregables relacionados con el módulo de gestión de estadísticas. Aunque existe una minuta de entrevista, no se dispone de actas firmadas o mecanismos que respalden la aceptación oficial por parte del cliente, tutor y equipo. Se recomienda formalizar estos entregables mediante actas o firmas digitales que garanticen la aprobación del alcance definido.</t>
  </si>
  <si>
    <t>¿Se han definido criterios de aceptación y casos de prueba
 que permitan medir objetivamente el cumplimiento del 
requisito?</t>
  </si>
  <si>
    <t>No se han definido criterios de aceptación ni casos de prueba específicos para el módulo de gestión de estadísticas. Si bien el requisito describe funcionalidades como la consulta de volumen de mantenimientos y tipos más recurrentes, no se establecen mecanismos claros para validar su correcto funcionamiento. Se recomienda definir criterios medibles y casos de prueba desde la especificación del requisito, de manera que se pueda verificar objetivamente su cumplimiento.</t>
  </si>
  <si>
    <t>Al terminar cada sesión de descubrimiento, debemos levantar un acta o usar firmas digitales. De esta forma, queda un respaldo claro de que el tutor, el cliente y el equipo aprueban el alcance y el contenido del proyecto.</t>
  </si>
  <si>
    <t>Cada vez que se defina un requisito, escribir cómo se procedera a probar. Así, cuando se firme el acuerdo de la sesión, todos (cliente, tutor y equipo) tendran claras las funcionalidades del software.</t>
  </si>
  <si>
    <t>CU000.4 Gestion Clientes</t>
  </si>
  <si>
    <t>Es necesario que el equipo de trabajo formalice la aceptación de los requisitos de gestión de perfiles mediante un acta firmada. Esto servirá como respaldo de que el cliente y los desarrolladores están de acuerdo con los flujos de registro y edición definidos.</t>
  </si>
  <si>
    <t>Se debe elaborar un plan de pruebas que valide específicamente las restricciones de seguridad y formato, como la validación de la cédula ecuatoriana y la unicidad de los correos electrónicos. Al definir estos casos de prueba, se podrá medir objetivamente si el sistema cumple con las reglas de negocio establecidas para los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</si>
</sst>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b/>
      <sz val="12"/>
      <color rgb="FFFFFFFF"/>
      <name val="Calibri"/>
      <family val="2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3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5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MODELO LISTA DE COMPROBACION - -style 2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MODELO LISTA DE COMPROBACION - -style 3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Hoja 1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Hoja 1-style 2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Hoja 1-style 3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MODELO DE LISTA DE COMPROBACION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MODELO DE LISTA DE COMPROBACION-style 2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MODELO DE LISTA DE COMPROBACION-style 3" pivot="0" count="3" xr9:uid="{00000000-0011-0000-FFFF-FFFF08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D28-4E63-9EA2-8A3786F7A5C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D28-4E63-9EA2-8A3786F7A5C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6D28-4E63-9EA2-8A3786F7A5C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CU0'!$B$41:$B$43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CU0'!$C$41:$C$43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8-4E63-9EA2-8A3786F7A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0A3-4C8F-86DC-97AD885E5EE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0A3-4C8F-86DC-97AD885E5EE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0A3-4C8F-86DC-97AD885E5E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89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A3-4C8F-86DC-97AD885E5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E8BD6-5776-4AA7-8374-C59708009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5C5B2-9E27-4651-9F08-291E2963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D89C16-2338-4E36-9F9E-2C889D5CAB63}" name="Table_15" displayName="Table_15" ref="A7:D16">
  <tableColumns count="4">
    <tableColumn id="1" xr3:uid="{B2F2CD53-E447-4711-AD0E-9D8D371CC40C}" name="No."/>
    <tableColumn id="2" xr3:uid="{8039E571-44C9-49EC-A584-C00D92903F1F}" name="Pregunta"/>
    <tableColumn id="3" xr3:uid="{F4EC769C-524F-4ECC-B079-D48029DFD646}" name="SI"/>
    <tableColumn id="4" xr3:uid="{1C768A67-0026-4395-9F75-D713D32DC40E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2924C1-DF38-49B9-8112-328CE91EF75A}" name="Table_26" displayName="Table_26" ref="A21:D26">
  <tableColumns count="4">
    <tableColumn id="1" xr3:uid="{4853A217-A9C1-416B-B405-3BFFE68A59D6}" name="No."/>
    <tableColumn id="2" xr3:uid="{7D4A7AD4-2470-44B4-BEB0-0EEB256AC02F}" name="Pregunta"/>
    <tableColumn id="3" xr3:uid="{66BEFBB2-4AAB-4E7F-BAA8-634FC7ABD571}" name="SI"/>
    <tableColumn id="4" xr3:uid="{EAB93855-DA96-40FC-9485-DEF61CC4FB54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B81E2F-C688-4C0A-BD53-3C26785391B1}" name="Table_37" displayName="Table_37" ref="A31:D34">
  <tableColumns count="4">
    <tableColumn id="1" xr3:uid="{EEFA934D-6663-457B-8691-C8D2BF0BF18C}" name="No."/>
    <tableColumn id="2" xr3:uid="{8E24E4ED-E388-47E8-82E2-7DAFBF5C03FA}" name="Pregunta"/>
    <tableColumn id="3" xr3:uid="{F3209CDD-8709-477D-8A15-90B875A75F6F}" name="SI"/>
    <tableColumn id="4" xr3:uid="{A46A7BF9-FE39-4250-A1B9-57447A0DF62B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6438DD-B9AE-48C7-8041-84D85F2B7580}" name="Table_18" displayName="Table_18" ref="A7:D16">
  <tableColumns count="4">
    <tableColumn id="1" xr3:uid="{47DEAF7E-4A90-4926-A920-337761FDC507}" name="No."/>
    <tableColumn id="2" xr3:uid="{2B52C46F-247D-437A-8714-9405269031D9}" name="Pregunta"/>
    <tableColumn id="3" xr3:uid="{7F3E19A0-0A32-4F1A-ABC9-6291D96C4DA5}" name="SI"/>
    <tableColumn id="4" xr3:uid="{3E102F0D-79FC-4CFE-96B9-EB7AA249DEC3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6DB1E8-16CD-478D-B1A9-805E7385ABE9}" name="Table_29" displayName="Table_29" ref="A21:D26">
  <tableColumns count="4">
    <tableColumn id="1" xr3:uid="{2F774CDB-278F-42BC-9309-42322A416F7E}" name="No."/>
    <tableColumn id="2" xr3:uid="{E0A4CAA8-1C99-406E-A25B-08E05A6BCF8C}" name="Pregunta"/>
    <tableColumn id="3" xr3:uid="{4AEF1815-61F7-4C1A-8777-C99BD32583C3}" name="SI"/>
    <tableColumn id="4" xr3:uid="{B650A106-8311-4CB9-893A-11F16067A88B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F90FFB-980A-4B41-89B2-7924226E2555}" name="Table_310" displayName="Table_310" ref="A31:D34">
  <tableColumns count="4">
    <tableColumn id="1" xr3:uid="{B1C8C619-38BA-45F3-AB8B-F13071E2DDF8}" name="No."/>
    <tableColumn id="2" xr3:uid="{D92BB280-41D0-4142-B3C9-FF29D7E40576}" name="Pregunta"/>
    <tableColumn id="3" xr3:uid="{F09AAC09-687D-42D6-BB8A-46A67E1D9023}" name="SI"/>
    <tableColumn id="4" xr3:uid="{30F66974-98C4-49A7-8F44-D0BDA6D565F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6" zoomScale="85" zoomScaleNormal="85" workbookViewId="0">
      <selection activeCell="F7" sqref="F7:F8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7109375" customWidth="1"/>
    <col min="5" max="5" width="9.7109375" customWidth="1"/>
    <col min="6" max="6" width="42.7109375" customWidth="1"/>
    <col min="7" max="7" width="12.85546875" customWidth="1"/>
    <col min="8" max="8" width="4.7109375" hidden="1" customWidth="1"/>
    <col min="9" max="9" width="42.7109375" customWidth="1"/>
    <col min="10" max="10" width="9.7109375" customWidth="1"/>
    <col min="11" max="11" width="39.5703125" customWidth="1"/>
    <col min="12" max="27" width="11.42578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3" t="s">
        <v>0</v>
      </c>
      <c r="D3" s="53"/>
      <c r="E3" s="53"/>
      <c r="F3" s="53"/>
      <c r="G3" s="53"/>
      <c r="H3" s="53"/>
      <c r="I3" s="53"/>
      <c r="J3" s="53"/>
      <c r="K3" s="53"/>
    </row>
    <row r="4" spans="2:11" ht="30" customHeight="1">
      <c r="C4" s="53"/>
      <c r="D4" s="53"/>
      <c r="E4" s="53"/>
      <c r="F4" s="53"/>
      <c r="G4" s="53"/>
      <c r="H4" s="53"/>
      <c r="I4" s="53"/>
      <c r="J4" s="53"/>
      <c r="K4" s="53"/>
    </row>
    <row r="5" spans="2:11" ht="30" customHeight="1">
      <c r="C5" s="2"/>
      <c r="D5" s="3" t="s">
        <v>1</v>
      </c>
      <c r="E5" s="44" t="s">
        <v>2</v>
      </c>
      <c r="F5" s="53"/>
      <c r="G5" s="53"/>
      <c r="H5" s="53"/>
      <c r="I5" s="53"/>
      <c r="J5" s="53"/>
      <c r="K5" s="53"/>
    </row>
    <row r="6" spans="2:11" ht="55.5" customHeight="1">
      <c r="C6" s="1"/>
      <c r="F6" s="45" t="s">
        <v>3</v>
      </c>
      <c r="G6" s="54"/>
      <c r="H6" s="54"/>
      <c r="I6" s="54"/>
      <c r="J6" s="54"/>
      <c r="K6" s="55"/>
    </row>
    <row r="7" spans="2:11" ht="45" customHeight="1">
      <c r="B7" s="40" t="s">
        <v>4</v>
      </c>
      <c r="C7" s="41" t="s">
        <v>5</v>
      </c>
      <c r="D7" s="56"/>
      <c r="E7" s="42" t="s">
        <v>6</v>
      </c>
      <c r="F7" s="40" t="s">
        <v>7</v>
      </c>
      <c r="G7" s="42" t="s">
        <v>8</v>
      </c>
      <c r="H7" s="4"/>
      <c r="I7" s="40" t="s">
        <v>9</v>
      </c>
      <c r="J7" s="42"/>
      <c r="K7" s="40" t="s">
        <v>10</v>
      </c>
    </row>
    <row r="8" spans="2:11" ht="60" customHeight="1">
      <c r="B8" s="57"/>
      <c r="C8" s="58"/>
      <c r="D8" s="59"/>
      <c r="E8" s="57"/>
      <c r="F8" s="57"/>
      <c r="G8" s="57"/>
      <c r="H8" s="4"/>
      <c r="I8" s="57"/>
      <c r="J8" s="57"/>
      <c r="K8" s="57"/>
    </row>
    <row r="9" spans="2:11" ht="111.75" customHeight="1">
      <c r="B9" s="5">
        <v>1</v>
      </c>
      <c r="C9" s="39" t="s">
        <v>11</v>
      </c>
      <c r="D9" s="55"/>
      <c r="E9" s="6" t="s">
        <v>12</v>
      </c>
      <c r="F9" s="7" t="s">
        <v>13</v>
      </c>
      <c r="G9" s="36" t="s">
        <v>12</v>
      </c>
      <c r="H9" s="8"/>
      <c r="I9" s="7" t="s">
        <v>14</v>
      </c>
      <c r="J9" s="36" t="s">
        <v>12</v>
      </c>
      <c r="K9" s="7" t="s">
        <v>15</v>
      </c>
    </row>
    <row r="10" spans="2:11" ht="45" customHeight="1">
      <c r="B10" s="5">
        <v>2</v>
      </c>
      <c r="C10" s="39" t="s">
        <v>16</v>
      </c>
      <c r="D10" s="55"/>
      <c r="E10" s="6" t="s">
        <v>12</v>
      </c>
      <c r="F10" s="9" t="s">
        <v>17</v>
      </c>
      <c r="G10" s="36" t="s">
        <v>12</v>
      </c>
      <c r="I10" s="9" t="s">
        <v>18</v>
      </c>
      <c r="J10" s="11" t="s">
        <v>19</v>
      </c>
      <c r="K10" s="9" t="s">
        <v>18</v>
      </c>
    </row>
    <row r="11" spans="2:11" ht="64.5">
      <c r="B11" s="5">
        <v>3</v>
      </c>
      <c r="C11" s="39" t="s">
        <v>20</v>
      </c>
      <c r="D11" s="55"/>
      <c r="E11" s="6" t="s">
        <v>12</v>
      </c>
      <c r="F11" s="9" t="s">
        <v>21</v>
      </c>
      <c r="G11" s="36" t="s">
        <v>12</v>
      </c>
      <c r="I11" s="9" t="s">
        <v>22</v>
      </c>
      <c r="J11" s="36" t="s">
        <v>12</v>
      </c>
      <c r="K11" s="9" t="s">
        <v>23</v>
      </c>
    </row>
    <row r="12" spans="2:11" ht="74.25" customHeight="1">
      <c r="B12" s="5">
        <v>4</v>
      </c>
      <c r="C12" s="39" t="s">
        <v>24</v>
      </c>
      <c r="D12" s="55"/>
      <c r="E12" s="6" t="s">
        <v>12</v>
      </c>
      <c r="F12" s="10" t="s">
        <v>25</v>
      </c>
      <c r="G12" s="36" t="s">
        <v>12</v>
      </c>
      <c r="I12" s="10" t="s">
        <v>26</v>
      </c>
      <c r="J12" s="36" t="s">
        <v>12</v>
      </c>
      <c r="K12" s="10" t="s">
        <v>27</v>
      </c>
    </row>
    <row r="13" spans="2:11" ht="64.5">
      <c r="B13" s="5">
        <v>5</v>
      </c>
      <c r="C13" s="39" t="s">
        <v>28</v>
      </c>
      <c r="D13" s="55"/>
      <c r="E13" s="6" t="s">
        <v>12</v>
      </c>
      <c r="F13" s="10" t="s">
        <v>29</v>
      </c>
      <c r="G13" s="36" t="s">
        <v>12</v>
      </c>
      <c r="I13" s="10" t="s">
        <v>30</v>
      </c>
      <c r="J13" s="36" t="s">
        <v>12</v>
      </c>
      <c r="K13" s="10" t="s">
        <v>31</v>
      </c>
    </row>
    <row r="14" spans="2:11" ht="81">
      <c r="B14" s="5">
        <v>6</v>
      </c>
      <c r="C14" s="39" t="s">
        <v>32</v>
      </c>
      <c r="D14" s="55"/>
      <c r="E14" s="6" t="s">
        <v>12</v>
      </c>
      <c r="F14" s="10" t="s">
        <v>33</v>
      </c>
      <c r="G14" s="6" t="s">
        <v>12</v>
      </c>
      <c r="I14" s="10" t="s">
        <v>34</v>
      </c>
      <c r="J14" s="11" t="s">
        <v>19</v>
      </c>
      <c r="K14" s="10" t="s">
        <v>35</v>
      </c>
    </row>
    <row r="15" spans="2:11" ht="64.5">
      <c r="B15" s="5">
        <v>7</v>
      </c>
      <c r="C15" s="39" t="s">
        <v>36</v>
      </c>
      <c r="D15" s="55"/>
      <c r="E15" s="11" t="s">
        <v>19</v>
      </c>
      <c r="F15" s="10" t="s">
        <v>37</v>
      </c>
      <c r="G15" s="11" t="s">
        <v>19</v>
      </c>
      <c r="I15" s="10" t="s">
        <v>38</v>
      </c>
      <c r="J15" s="11" t="s">
        <v>19</v>
      </c>
      <c r="K15" s="10" t="s">
        <v>37</v>
      </c>
    </row>
    <row r="16" spans="2:11" ht="64.5">
      <c r="B16" s="5">
        <v>8</v>
      </c>
      <c r="C16" s="39" t="s">
        <v>39</v>
      </c>
      <c r="D16" s="55"/>
      <c r="E16" s="11" t="s">
        <v>19</v>
      </c>
      <c r="F16" s="10" t="s">
        <v>40</v>
      </c>
      <c r="G16" s="11" t="s">
        <v>19</v>
      </c>
      <c r="I16" s="35" t="s">
        <v>41</v>
      </c>
      <c r="J16" s="11" t="s">
        <v>19</v>
      </c>
      <c r="K16" s="10" t="s">
        <v>42</v>
      </c>
    </row>
    <row r="17" spans="2:11" ht="81">
      <c r="B17" s="5">
        <v>9</v>
      </c>
      <c r="C17" s="39" t="s">
        <v>43</v>
      </c>
      <c r="D17" s="55"/>
      <c r="E17" s="6" t="s">
        <v>12</v>
      </c>
      <c r="F17" s="12" t="s">
        <v>44</v>
      </c>
      <c r="G17" s="36" t="s">
        <v>12</v>
      </c>
      <c r="I17" s="37" t="s">
        <v>45</v>
      </c>
      <c r="J17" s="36" t="s">
        <v>12</v>
      </c>
      <c r="K17" s="12" t="s">
        <v>46</v>
      </c>
    </row>
    <row r="18" spans="2:11" ht="96.75">
      <c r="B18" s="5">
        <v>10</v>
      </c>
      <c r="C18" s="39" t="s">
        <v>47</v>
      </c>
      <c r="D18" s="55"/>
      <c r="E18" s="6" t="s">
        <v>12</v>
      </c>
      <c r="F18" s="10" t="s">
        <v>48</v>
      </c>
      <c r="G18" s="36" t="s">
        <v>12</v>
      </c>
      <c r="I18" s="35" t="s">
        <v>49</v>
      </c>
      <c r="J18" s="36" t="s">
        <v>12</v>
      </c>
      <c r="K18" s="10" t="s">
        <v>48</v>
      </c>
    </row>
    <row r="19" spans="2:11" ht="64.5">
      <c r="B19" s="5">
        <v>11</v>
      </c>
      <c r="C19" s="39" t="s">
        <v>50</v>
      </c>
      <c r="D19" s="55"/>
      <c r="E19" s="6" t="s">
        <v>12</v>
      </c>
      <c r="F19" s="35" t="s">
        <v>51</v>
      </c>
      <c r="G19" s="36" t="s">
        <v>12</v>
      </c>
      <c r="I19" s="35" t="s">
        <v>51</v>
      </c>
      <c r="J19" s="11" t="s">
        <v>19</v>
      </c>
      <c r="K19" s="10" t="s">
        <v>52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36" workbookViewId="0">
      <selection activeCell="E49" sqref="E49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2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53</v>
      </c>
      <c r="C2" s="49">
        <v>46126</v>
      </c>
      <c r="D2" s="53"/>
    </row>
    <row r="3" spans="1:26" ht="14.25" customHeight="1">
      <c r="B3" s="15" t="s">
        <v>54</v>
      </c>
      <c r="C3" s="50" t="s">
        <v>55</v>
      </c>
      <c r="D3" s="53"/>
    </row>
    <row r="4" spans="1:26" ht="14.25" customHeight="1">
      <c r="B4" s="15" t="s">
        <v>56</v>
      </c>
      <c r="C4" s="50"/>
      <c r="D4" s="53"/>
    </row>
    <row r="5" spans="1:26" ht="14.25" customHeight="1"/>
    <row r="6" spans="1:26" ht="14.25" customHeight="1">
      <c r="A6" s="51" t="s">
        <v>57</v>
      </c>
      <c r="B6" s="53"/>
      <c r="C6" s="53"/>
      <c r="D6" s="53"/>
    </row>
    <row r="7" spans="1:26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9">
      <c r="A8" s="29">
        <v>1</v>
      </c>
      <c r="B8" s="19" t="s">
        <v>62</v>
      </c>
      <c r="C8" s="20" t="s">
        <v>63</v>
      </c>
      <c r="D8" s="30"/>
    </row>
    <row r="9" spans="1:26" ht="28.9">
      <c r="A9" s="29">
        <v>2</v>
      </c>
      <c r="B9" s="19" t="s">
        <v>64</v>
      </c>
      <c r="C9" s="30"/>
      <c r="D9" s="23" t="s">
        <v>63</v>
      </c>
    </row>
    <row r="10" spans="1:26" ht="57.6">
      <c r="A10" s="29">
        <v>3</v>
      </c>
      <c r="B10" s="19" t="s">
        <v>65</v>
      </c>
      <c r="C10" s="20" t="s">
        <v>63</v>
      </c>
      <c r="D10" s="30"/>
    </row>
    <row r="11" spans="1:26" ht="14.25" customHeight="1">
      <c r="A11" s="29">
        <v>4</v>
      </c>
      <c r="B11" s="19" t="s">
        <v>66</v>
      </c>
      <c r="C11" s="20" t="s">
        <v>63</v>
      </c>
      <c r="D11" s="30"/>
    </row>
    <row r="12" spans="1:26" ht="14.25" customHeight="1">
      <c r="A12" s="29">
        <v>5</v>
      </c>
      <c r="B12" s="19" t="s">
        <v>67</v>
      </c>
      <c r="C12" s="20" t="s">
        <v>63</v>
      </c>
      <c r="D12" s="30"/>
    </row>
    <row r="13" spans="1:26" ht="14.25" customHeight="1">
      <c r="A13" s="29">
        <v>6</v>
      </c>
      <c r="B13" s="19" t="s">
        <v>68</v>
      </c>
      <c r="C13" s="20" t="s">
        <v>63</v>
      </c>
      <c r="D13" s="30"/>
    </row>
    <row r="14" spans="1:26" ht="14.25" customHeight="1">
      <c r="A14" s="29">
        <v>7</v>
      </c>
      <c r="B14" s="19" t="s">
        <v>69</v>
      </c>
      <c r="C14" s="20" t="s">
        <v>63</v>
      </c>
      <c r="D14" s="30"/>
    </row>
    <row r="15" spans="1:26" ht="14.25" customHeight="1">
      <c r="A15" s="29">
        <v>8</v>
      </c>
      <c r="B15" s="19" t="s">
        <v>70</v>
      </c>
      <c r="C15" s="20" t="s">
        <v>63</v>
      </c>
      <c r="D15" s="30"/>
    </row>
    <row r="16" spans="1:26" ht="14.25" customHeight="1">
      <c r="A16" s="21">
        <v>9</v>
      </c>
      <c r="B16" s="22" t="s">
        <v>71</v>
      </c>
      <c r="C16" s="23"/>
      <c r="D16" s="23" t="s">
        <v>63</v>
      </c>
    </row>
    <row r="17" spans="1:4" ht="14.25" customHeight="1">
      <c r="A17" s="46" t="s">
        <v>72</v>
      </c>
      <c r="B17" s="53"/>
      <c r="C17" s="25">
        <f>COUNTA('MODELO LISTA DE COMPROBACION - '!$C$8:$C$16)</f>
        <v>7</v>
      </c>
      <c r="D17" s="25">
        <f>COUNTA('MODELO LISTA DE COMPROBACION - '!$D$8:$D$16)</f>
        <v>2</v>
      </c>
    </row>
    <row r="18" spans="1:4" ht="14.25" customHeight="1">
      <c r="A18" s="46" t="s">
        <v>73</v>
      </c>
      <c r="B18" s="5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74</v>
      </c>
      <c r="B20" s="60"/>
      <c r="C20" s="60"/>
      <c r="D20" s="60"/>
    </row>
    <row r="21" spans="1:4" ht="14.25" customHeight="1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>
      <c r="A22" s="29">
        <v>1</v>
      </c>
      <c r="B22" s="19" t="s">
        <v>75</v>
      </c>
      <c r="C22" s="23" t="s">
        <v>63</v>
      </c>
      <c r="D22" s="30"/>
    </row>
    <row r="23" spans="1:4" ht="14.25" customHeight="1">
      <c r="A23" s="29">
        <v>2</v>
      </c>
      <c r="B23" s="19" t="s">
        <v>76</v>
      </c>
      <c r="C23" s="23" t="s">
        <v>63</v>
      </c>
      <c r="D23" s="30"/>
    </row>
    <row r="24" spans="1:4" ht="14.25" customHeight="1">
      <c r="A24" s="29">
        <v>3</v>
      </c>
      <c r="B24" s="19" t="s">
        <v>77</v>
      </c>
      <c r="D24" s="23" t="s">
        <v>63</v>
      </c>
    </row>
    <row r="25" spans="1:4" ht="14.25" customHeight="1">
      <c r="A25" s="29">
        <v>4</v>
      </c>
      <c r="B25" s="19" t="s">
        <v>78</v>
      </c>
      <c r="C25" s="23" t="s">
        <v>63</v>
      </c>
      <c r="D25" s="30"/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46" t="s">
        <v>72</v>
      </c>
      <c r="B27" s="53"/>
      <c r="C27" s="25">
        <f>COUNTA('MODELO LISTA DE COMPROBACION - '!$C$22:$C$26)</f>
        <v>4</v>
      </c>
      <c r="D27" s="25">
        <f>COUNTA('MODELO LISTA DE COMPROBACION - '!$D$22:$D$26)</f>
        <v>1</v>
      </c>
    </row>
    <row r="28" spans="1:4" ht="14.25" customHeight="1">
      <c r="A28" s="46" t="s">
        <v>73</v>
      </c>
      <c r="B28" s="53"/>
      <c r="C28" s="26">
        <f t="shared" ref="C28:D28" si="1">C27/5</f>
        <v>0.8</v>
      </c>
      <c r="D28" s="26">
        <f t="shared" si="1"/>
        <v>0.2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80</v>
      </c>
      <c r="B30" s="53"/>
      <c r="C30" s="53"/>
      <c r="D30" s="53"/>
    </row>
    <row r="31" spans="1:4" ht="14.25" customHeight="1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>
      <c r="A32" s="29">
        <v>1</v>
      </c>
      <c r="B32" s="19" t="s">
        <v>81</v>
      </c>
      <c r="C32" s="23" t="s">
        <v>63</v>
      </c>
      <c r="D32" s="23"/>
    </row>
    <row r="33" spans="1:4" ht="14.25" customHeight="1">
      <c r="A33" s="29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46" t="s">
        <v>72</v>
      </c>
      <c r="B35" s="53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>
      <c r="A36" s="46" t="s">
        <v>73</v>
      </c>
      <c r="B36" s="53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84</v>
      </c>
      <c r="B40" s="53"/>
      <c r="C40" s="53"/>
    </row>
    <row r="41" spans="1:4" ht="30" customHeight="1">
      <c r="B41" s="13" t="s">
        <v>85</v>
      </c>
      <c r="C41" s="25">
        <v>78</v>
      </c>
    </row>
    <row r="42" spans="1:4" ht="30" customHeight="1">
      <c r="B42" s="13" t="s">
        <v>74</v>
      </c>
      <c r="C42" s="25">
        <v>80</v>
      </c>
    </row>
    <row r="43" spans="1:4" ht="30" customHeight="1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7" priority="5" operator="containsText" text="X">
      <formula>NOT(ISERROR(SEARCH(("X"),(A32))))</formula>
    </cfRule>
  </conditionalFormatting>
  <conditionalFormatting sqref="D24">
    <cfRule type="containsText" dxfId="26" priority="1" operator="containsText" text="X">
      <formula>NOT(ISERROR(SEARCH(("X"),(D24))))</formula>
    </cfRule>
    <cfRule type="containsText" dxfId="25" priority="2" operator="containsText" text="X">
      <formula>NOT(ISERROR(SEARCH(("X"),(D24))))</formula>
    </cfRule>
    <cfRule type="containsText" dxfId="24" priority="3" operator="containsText" text="X">
      <formula>NOT(ISERROR(SEARCH(("X"),(D24))))</formula>
    </cfRule>
    <cfRule type="containsText" dxfId="23" priority="4" operator="containsText" text="X">
      <formula>NOT(ISERROR(SEARCH(("X"),(D24))))</formula>
    </cfRule>
  </conditionalFormatting>
  <conditionalFormatting sqref="C8:D16 C22:C23 C25:C26 D24 C32:D34">
    <cfRule type="containsText" dxfId="22" priority="7" operator="containsText" text="X">
      <formula>NOT(ISERROR(SEARCH(("X"),(C8))))</formula>
    </cfRule>
    <cfRule type="containsText" dxfId="21" priority="8" operator="containsText" text="X">
      <formula>NOT(ISERROR(SEARCH(("X"),(C8))))</formula>
    </cfRule>
    <cfRule type="containsText" dxfId="20" priority="9" operator="containsText" text="X">
      <formula>NOT(ISERROR(SEARCH(("X"),(C8))))</formula>
    </cfRule>
  </conditionalFormatting>
  <conditionalFormatting sqref="C22:D23 D24 C25:D26">
    <cfRule type="containsText" dxfId="19" priority="10" operator="containsText" text="X">
      <formula>NOT(ISERROR(SEARCH(("X"),(C22))))</formula>
    </cfRule>
    <cfRule type="containsText" dxfId="18" priority="11" operator="containsText" text="X">
      <formula>NOT(ISERROR(SEARCH(("X"),(C22))))</formula>
    </cfRule>
  </conditionalFormatting>
  <conditionalFormatting sqref="C8:D16 C22:C23 C25:C26 D24 C32:D34">
    <cfRule type="containsText" dxfId="17" priority="6" operator="containsText" text="X">
      <formula>NOT(ISERROR(SEARCH(("X"),(C8))))</formula>
    </cfRule>
  </conditionalFormatting>
  <conditionalFormatting sqref="C32:D34">
    <cfRule type="containsText" dxfId="16" priority="12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0AF5-366E-453B-B0C2-B59BD7217DF4}">
  <dimension ref="A1:Z1000"/>
  <sheetViews>
    <sheetView zoomScale="71" workbookViewId="0">
      <selection activeCell="C1" sqref="C1:D1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18.75">
      <c r="A1" s="13"/>
      <c r="B1" s="14" t="s">
        <v>1</v>
      </c>
      <c r="C1" s="48" t="s">
        <v>2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53</v>
      </c>
      <c r="C2" s="49">
        <v>46126</v>
      </c>
      <c r="D2" s="53"/>
    </row>
    <row r="3" spans="1:26" ht="14.25" customHeight="1">
      <c r="B3" s="15" t="s">
        <v>54</v>
      </c>
      <c r="C3" s="50" t="s">
        <v>86</v>
      </c>
      <c r="D3" s="53"/>
    </row>
    <row r="4" spans="1:26" ht="14.25" customHeight="1">
      <c r="B4" s="15" t="s">
        <v>56</v>
      </c>
      <c r="C4" s="50" t="s">
        <v>87</v>
      </c>
      <c r="D4" s="53"/>
    </row>
    <row r="5" spans="1:26" ht="14.25" customHeight="1"/>
    <row r="6" spans="1:26" ht="14.25" customHeight="1">
      <c r="A6" s="51" t="s">
        <v>57</v>
      </c>
      <c r="B6" s="53"/>
      <c r="C6" s="53"/>
      <c r="D6" s="53"/>
    </row>
    <row r="7" spans="1:26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9">
      <c r="A8" s="29">
        <v>1</v>
      </c>
      <c r="B8" s="19" t="s">
        <v>62</v>
      </c>
      <c r="C8" s="20" t="s">
        <v>63</v>
      </c>
      <c r="D8" s="30"/>
    </row>
    <row r="9" spans="1:26" ht="28.9">
      <c r="A9" s="29">
        <v>2</v>
      </c>
      <c r="B9" s="19" t="s">
        <v>64</v>
      </c>
      <c r="C9" s="20"/>
      <c r="D9" s="30" t="s">
        <v>63</v>
      </c>
    </row>
    <row r="10" spans="1:26" ht="57.6">
      <c r="A10" s="29">
        <v>3</v>
      </c>
      <c r="B10" s="19" t="s">
        <v>65</v>
      </c>
      <c r="C10" s="20" t="s">
        <v>63</v>
      </c>
      <c r="D10" s="30"/>
    </row>
    <row r="11" spans="1:26" ht="14.25" customHeight="1">
      <c r="A11" s="29">
        <v>4</v>
      </c>
      <c r="B11" s="19" t="s">
        <v>66</v>
      </c>
      <c r="C11" s="20" t="s">
        <v>63</v>
      </c>
      <c r="D11" s="30"/>
    </row>
    <row r="12" spans="1:26" ht="14.25" customHeight="1">
      <c r="A12" s="29">
        <v>5</v>
      </c>
      <c r="B12" s="19" t="s">
        <v>67</v>
      </c>
      <c r="C12" s="20" t="s">
        <v>63</v>
      </c>
      <c r="D12" s="30"/>
    </row>
    <row r="13" spans="1:26" ht="14.25" customHeight="1">
      <c r="A13" s="29">
        <v>6</v>
      </c>
      <c r="B13" s="19" t="s">
        <v>68</v>
      </c>
      <c r="C13" s="20" t="s">
        <v>63</v>
      </c>
      <c r="D13" s="30"/>
    </row>
    <row r="14" spans="1:26" ht="14.25" customHeight="1">
      <c r="A14" s="29">
        <v>7</v>
      </c>
      <c r="B14" s="19" t="s">
        <v>69</v>
      </c>
      <c r="C14" s="20" t="s">
        <v>63</v>
      </c>
      <c r="D14" s="30"/>
    </row>
    <row r="15" spans="1:26" ht="14.25" customHeight="1">
      <c r="A15" s="29">
        <v>8</v>
      </c>
      <c r="B15" s="19" t="s">
        <v>70</v>
      </c>
      <c r="C15" s="20" t="s">
        <v>63</v>
      </c>
      <c r="D15" s="30"/>
    </row>
    <row r="16" spans="1:26" ht="14.25" customHeight="1">
      <c r="A16" s="21">
        <v>9</v>
      </c>
      <c r="B16" s="22" t="s">
        <v>71</v>
      </c>
      <c r="C16" s="23"/>
      <c r="D16" s="23" t="s">
        <v>63</v>
      </c>
    </row>
    <row r="17" spans="1:4" ht="14.25" customHeight="1">
      <c r="A17" s="46" t="s">
        <v>72</v>
      </c>
      <c r="B17" s="53"/>
      <c r="C17" s="25">
        <f>COUNTA('MODELO LISTA DE COMPROBACIO CU0'!$C$8:$C$16)</f>
        <v>7</v>
      </c>
      <c r="D17" s="25">
        <f>COUNTA('MODELO LISTA DE COMPROBACIO CU0'!$D$8:$D$16)</f>
        <v>2</v>
      </c>
    </row>
    <row r="18" spans="1:4" ht="14.25" customHeight="1">
      <c r="A18" s="46" t="s">
        <v>73</v>
      </c>
      <c r="B18" s="5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74</v>
      </c>
      <c r="B20" s="60"/>
      <c r="C20" s="60"/>
      <c r="D20" s="60"/>
    </row>
    <row r="21" spans="1:4" ht="14.25" customHeight="1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>
      <c r="A22" s="29">
        <v>1</v>
      </c>
      <c r="B22" s="19" t="s">
        <v>75</v>
      </c>
      <c r="C22" s="23" t="s">
        <v>63</v>
      </c>
      <c r="D22" s="30"/>
    </row>
    <row r="23" spans="1:4" ht="14.25" customHeight="1">
      <c r="A23" s="29">
        <v>2</v>
      </c>
      <c r="B23" s="19" t="s">
        <v>76</v>
      </c>
      <c r="C23" s="23" t="s">
        <v>63</v>
      </c>
      <c r="D23" s="30"/>
    </row>
    <row r="24" spans="1:4" ht="14.25" customHeight="1">
      <c r="A24" s="29">
        <v>3</v>
      </c>
      <c r="B24" s="19" t="s">
        <v>77</v>
      </c>
      <c r="C24" s="23" t="s">
        <v>63</v>
      </c>
      <c r="D24" s="30"/>
    </row>
    <row r="25" spans="1:4" ht="14.25" customHeight="1">
      <c r="A25" s="29">
        <v>4</v>
      </c>
      <c r="B25" s="19" t="s">
        <v>78</v>
      </c>
      <c r="C25" s="23" t="s">
        <v>63</v>
      </c>
      <c r="D25" s="30"/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46" t="s">
        <v>72</v>
      </c>
      <c r="B27" s="53"/>
      <c r="C27" s="25">
        <f>COUNTA('MODELO LISTA DE COMPROBACIO CU0'!$C$22:$C$26)</f>
        <v>5</v>
      </c>
      <c r="D27" s="25">
        <f>COUNTA('MODELO LISTA DE COMPROBACIO CU0'!$D$22:$D$26)</f>
        <v>0</v>
      </c>
    </row>
    <row r="28" spans="1:4" ht="14.25" customHeight="1">
      <c r="A28" s="46" t="s">
        <v>73</v>
      </c>
      <c r="B28" s="53"/>
      <c r="C28" s="26">
        <f t="shared" ref="C28:D28" si="1">C27/5</f>
        <v>1</v>
      </c>
      <c r="D28" s="26">
        <f t="shared" si="1"/>
        <v>0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80</v>
      </c>
      <c r="B30" s="53"/>
      <c r="C30" s="53"/>
      <c r="D30" s="53"/>
    </row>
    <row r="31" spans="1:4" ht="14.25" customHeight="1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>
      <c r="A32" s="29">
        <v>1</v>
      </c>
      <c r="B32" s="19" t="s">
        <v>81</v>
      </c>
      <c r="C32" s="23" t="s">
        <v>63</v>
      </c>
      <c r="D32" s="23"/>
    </row>
    <row r="33" spans="1:4" ht="14.25" customHeight="1">
      <c r="A33" s="29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46" t="s">
        <v>72</v>
      </c>
      <c r="B35" s="53"/>
      <c r="C35" s="8">
        <f>COUNTA('MODELO LISTA DE COMPROBACIO CU0'!$C$32:$C$34)</f>
        <v>3</v>
      </c>
      <c r="D35" s="8">
        <f>COUNTA('MODELO LISTA DE COMPROBACIO CU0'!$D$32:$D$34)</f>
        <v>0</v>
      </c>
    </row>
    <row r="36" spans="1:4" ht="14.25" customHeight="1">
      <c r="A36" s="46" t="s">
        <v>73</v>
      </c>
      <c r="B36" s="53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84</v>
      </c>
      <c r="B40" s="53"/>
      <c r="C40" s="53"/>
    </row>
    <row r="41" spans="1:4" ht="30" customHeight="1">
      <c r="B41" s="13" t="s">
        <v>85</v>
      </c>
      <c r="C41" s="25">
        <v>89</v>
      </c>
    </row>
    <row r="42" spans="1:4" ht="30" customHeight="1">
      <c r="B42" s="13" t="s">
        <v>74</v>
      </c>
      <c r="C42" s="25">
        <v>100</v>
      </c>
    </row>
    <row r="43" spans="1:4" ht="30" customHeight="1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C554-C1D7-44CE-AABA-DDA00E23299C}">
  <dimension ref="A1:Z1000"/>
  <sheetViews>
    <sheetView topLeftCell="M14" workbookViewId="0">
      <selection activeCell="C4" sqref="C4:D4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2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53</v>
      </c>
      <c r="C2" s="49">
        <v>46126</v>
      </c>
      <c r="D2" s="53"/>
    </row>
    <row r="3" spans="1:26" ht="14.25" customHeight="1">
      <c r="B3" s="15" t="s">
        <v>54</v>
      </c>
      <c r="C3" s="50" t="s">
        <v>88</v>
      </c>
      <c r="D3" s="53"/>
    </row>
    <row r="4" spans="1:26" ht="14.25" customHeight="1">
      <c r="B4" s="15" t="s">
        <v>56</v>
      </c>
      <c r="C4" s="50" t="s">
        <v>89</v>
      </c>
      <c r="D4" s="53"/>
    </row>
    <row r="5" spans="1:26" ht="14.25" customHeight="1"/>
    <row r="6" spans="1:26" ht="14.25" customHeight="1">
      <c r="A6" s="51" t="s">
        <v>57</v>
      </c>
      <c r="B6" s="53"/>
      <c r="C6" s="53"/>
      <c r="D6" s="53"/>
    </row>
    <row r="7" spans="1:26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9">
      <c r="A8" s="29">
        <v>1</v>
      </c>
      <c r="B8" s="19" t="s">
        <v>62</v>
      </c>
      <c r="C8" s="20" t="s">
        <v>63</v>
      </c>
      <c r="D8" s="30"/>
    </row>
    <row r="9" spans="1:26" ht="28.9">
      <c r="A9" s="29">
        <v>2</v>
      </c>
      <c r="B9" s="19" t="s">
        <v>64</v>
      </c>
      <c r="C9" s="20" t="s">
        <v>63</v>
      </c>
      <c r="D9" s="30"/>
    </row>
    <row r="10" spans="1:26" ht="57.6">
      <c r="A10" s="29">
        <v>3</v>
      </c>
      <c r="B10" s="19" t="s">
        <v>65</v>
      </c>
      <c r="C10" s="20" t="s">
        <v>63</v>
      </c>
      <c r="D10" s="30"/>
    </row>
    <row r="11" spans="1:26" ht="14.25" customHeight="1">
      <c r="A11" s="29">
        <v>4</v>
      </c>
      <c r="B11" s="19" t="s">
        <v>66</v>
      </c>
      <c r="C11" s="20" t="s">
        <v>63</v>
      </c>
      <c r="D11" s="30"/>
    </row>
    <row r="12" spans="1:26" ht="14.25" customHeight="1">
      <c r="A12" s="29">
        <v>5</v>
      </c>
      <c r="B12" s="19" t="s">
        <v>67</v>
      </c>
      <c r="C12" s="20" t="s">
        <v>63</v>
      </c>
      <c r="D12" s="30"/>
    </row>
    <row r="13" spans="1:26" ht="14.25" customHeight="1">
      <c r="A13" s="29">
        <v>6</v>
      </c>
      <c r="B13" s="19" t="s">
        <v>68</v>
      </c>
      <c r="C13" s="20" t="s">
        <v>63</v>
      </c>
      <c r="D13" s="30"/>
    </row>
    <row r="14" spans="1:26" ht="14.25" customHeight="1">
      <c r="A14" s="29">
        <v>7</v>
      </c>
      <c r="B14" s="19" t="s">
        <v>69</v>
      </c>
      <c r="C14" s="20" t="s">
        <v>63</v>
      </c>
      <c r="D14" s="30"/>
    </row>
    <row r="15" spans="1:26" ht="14.25" customHeight="1">
      <c r="A15" s="29">
        <v>8</v>
      </c>
      <c r="B15" s="19" t="s">
        <v>70</v>
      </c>
      <c r="C15" s="20" t="s">
        <v>63</v>
      </c>
      <c r="D15" s="30"/>
    </row>
    <row r="16" spans="1:26" ht="14.25" customHeight="1">
      <c r="A16" s="21">
        <v>9</v>
      </c>
      <c r="B16" s="22" t="s">
        <v>71</v>
      </c>
      <c r="C16" s="23"/>
      <c r="D16" s="23" t="s">
        <v>63</v>
      </c>
    </row>
    <row r="17" spans="1:4" ht="14.25" customHeight="1">
      <c r="A17" s="46" t="s">
        <v>72</v>
      </c>
      <c r="B17" s="53"/>
      <c r="C17" s="25">
        <f>COUNTA('MODELO LISTA DE COMPROBACIO (3)'!$C$8:$C$16)</f>
        <v>8</v>
      </c>
      <c r="D17" s="25">
        <f>COUNTA('MODELO LISTA DE COMPROBACIO (3)'!$D$8:$D$16)</f>
        <v>1</v>
      </c>
    </row>
    <row r="18" spans="1:4" ht="14.25" customHeight="1">
      <c r="A18" s="46" t="s">
        <v>73</v>
      </c>
      <c r="B18" s="53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74</v>
      </c>
      <c r="B20" s="60"/>
      <c r="C20" s="60"/>
      <c r="D20" s="60"/>
    </row>
    <row r="21" spans="1:4" ht="14.25" customHeight="1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>
      <c r="A22" s="29">
        <v>1</v>
      </c>
      <c r="B22" s="19" t="s">
        <v>75</v>
      </c>
      <c r="C22" s="23" t="s">
        <v>63</v>
      </c>
      <c r="D22" s="30"/>
    </row>
    <row r="23" spans="1:4" ht="14.25" customHeight="1">
      <c r="A23" s="29">
        <v>2</v>
      </c>
      <c r="B23" s="19" t="s">
        <v>76</v>
      </c>
      <c r="C23" s="23" t="s">
        <v>63</v>
      </c>
      <c r="D23" s="30"/>
    </row>
    <row r="24" spans="1:4" ht="14.25" customHeight="1">
      <c r="A24" s="29">
        <v>3</v>
      </c>
      <c r="B24" s="19" t="s">
        <v>77</v>
      </c>
      <c r="C24" s="27"/>
      <c r="D24" s="23" t="s">
        <v>63</v>
      </c>
    </row>
    <row r="25" spans="1:4" ht="14.25" customHeight="1">
      <c r="A25" s="29">
        <v>4</v>
      </c>
      <c r="B25" s="19" t="s">
        <v>78</v>
      </c>
      <c r="C25" s="23" t="s">
        <v>63</v>
      </c>
      <c r="D25" s="30"/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46" t="s">
        <v>72</v>
      </c>
      <c r="B27" s="53"/>
      <c r="C27" s="25">
        <f>COUNTA('MODELO LISTA DE COMPROBACIO (3)'!$C$22:$C$26)</f>
        <v>4</v>
      </c>
      <c r="D27" s="25">
        <f>COUNTA('MODELO LISTA DE COMPROBACIO (3)'!$D$22:$D$26)</f>
        <v>1</v>
      </c>
    </row>
    <row r="28" spans="1:4" ht="14.25" customHeight="1">
      <c r="A28" s="46" t="s">
        <v>73</v>
      </c>
      <c r="B28" s="53"/>
      <c r="C28" s="26">
        <f t="shared" ref="C28:D28" si="1">C27/5</f>
        <v>0.8</v>
      </c>
      <c r="D28" s="26">
        <f t="shared" si="1"/>
        <v>0.2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80</v>
      </c>
      <c r="B30" s="53"/>
      <c r="C30" s="53"/>
      <c r="D30" s="53"/>
    </row>
    <row r="31" spans="1:4" ht="14.25" customHeight="1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>
      <c r="A32" s="29">
        <v>1</v>
      </c>
      <c r="B32" s="19" t="s">
        <v>81</v>
      </c>
      <c r="C32" s="23" t="s">
        <v>63</v>
      </c>
      <c r="D32" s="23"/>
    </row>
    <row r="33" spans="1:4" ht="14.25" customHeight="1">
      <c r="A33" s="29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46" t="s">
        <v>72</v>
      </c>
      <c r="B35" s="53"/>
      <c r="C35" s="8">
        <f>COUNTA('MODELO LISTA DE COMPROBACIO (3)'!$C$32:$C$34)</f>
        <v>3</v>
      </c>
      <c r="D35" s="8">
        <f>COUNTA('MODELO LISTA DE COMPROBACIO (3)'!$D$32:$D$34)</f>
        <v>0</v>
      </c>
    </row>
    <row r="36" spans="1:4" ht="14.25" customHeight="1">
      <c r="A36" s="46" t="s">
        <v>73</v>
      </c>
      <c r="B36" s="53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84</v>
      </c>
      <c r="B40" s="53"/>
      <c r="C40" s="53"/>
    </row>
    <row r="41" spans="1:4" ht="30" customHeight="1">
      <c r="B41" s="13" t="s">
        <v>85</v>
      </c>
      <c r="C41" s="25">
        <v>89</v>
      </c>
    </row>
    <row r="42" spans="1:4" ht="30" customHeight="1">
      <c r="B42" s="13" t="s">
        <v>74</v>
      </c>
      <c r="C42" s="25">
        <v>80</v>
      </c>
    </row>
    <row r="43" spans="1:4" ht="30" customHeight="1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3 D24 C25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3 D24 C25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17CE-5884-446F-A780-5789E582D374}">
  <dimension ref="A1:B999"/>
  <sheetViews>
    <sheetView workbookViewId="0">
      <selection activeCell="A4" sqref="A4"/>
    </sheetView>
  </sheetViews>
  <sheetFormatPr defaultColWidth="14.42578125" defaultRowHeight="15" customHeight="1"/>
  <cols>
    <col min="1" max="1" width="103.5703125" bestFit="1" customWidth="1"/>
    <col min="2" max="2" width="57.28515625" customWidth="1"/>
    <col min="3" max="26" width="10.7109375" customWidth="1"/>
  </cols>
  <sheetData>
    <row r="1" spans="1:2" ht="15" customHeight="1">
      <c r="A1" s="38" t="s">
        <v>90</v>
      </c>
    </row>
    <row r="2" spans="1:2" ht="14.25" customHeight="1">
      <c r="A2" s="28" t="s">
        <v>91</v>
      </c>
      <c r="B2" s="28" t="s">
        <v>92</v>
      </c>
    </row>
    <row r="3" spans="1:2" ht="121.5">
      <c r="A3" s="19" t="s">
        <v>93</v>
      </c>
      <c r="B3" s="19" t="s">
        <v>94</v>
      </c>
    </row>
    <row r="4" spans="1:2" ht="121.5">
      <c r="A4" s="19" t="s">
        <v>95</v>
      </c>
      <c r="B4" s="19" t="s">
        <v>96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A75F-DEFE-4003-8FAD-C7F0B4A29453}">
  <dimension ref="A1:B999"/>
  <sheetViews>
    <sheetView workbookViewId="0">
      <selection activeCell="B3" sqref="B3"/>
    </sheetView>
  </sheetViews>
  <sheetFormatPr defaultColWidth="14.42578125" defaultRowHeight="15" customHeight="1"/>
  <cols>
    <col min="1" max="1" width="103.5703125" bestFit="1" customWidth="1"/>
    <col min="2" max="2" width="57.28515625" customWidth="1"/>
    <col min="3" max="26" width="10.7109375" customWidth="1"/>
  </cols>
  <sheetData>
    <row r="1" spans="1:2" ht="15" customHeight="1">
      <c r="A1" t="s">
        <v>89</v>
      </c>
    </row>
    <row r="2" spans="1:2" ht="14.25" customHeight="1">
      <c r="A2" s="28" t="s">
        <v>91</v>
      </c>
      <c r="B2" s="28" t="s">
        <v>92</v>
      </c>
    </row>
    <row r="3" spans="1:2" ht="57.6">
      <c r="A3" s="19" t="s">
        <v>93</v>
      </c>
      <c r="B3" s="19" t="s">
        <v>97</v>
      </c>
    </row>
    <row r="4" spans="1:2" ht="43.15">
      <c r="A4" s="19" t="s">
        <v>95</v>
      </c>
      <c r="B4" s="19" t="s">
        <v>98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9"/>
  <sheetViews>
    <sheetView tabSelected="1" workbookViewId="0">
      <selection activeCell="B4" sqref="B4"/>
    </sheetView>
  </sheetViews>
  <sheetFormatPr defaultColWidth="14.42578125" defaultRowHeight="15" customHeight="1"/>
  <cols>
    <col min="1" max="1" width="103.5703125" bestFit="1" customWidth="1"/>
    <col min="2" max="2" width="57" bestFit="1" customWidth="1"/>
    <col min="3" max="26" width="10.7109375" customWidth="1"/>
  </cols>
  <sheetData>
    <row r="1" spans="1:2" ht="15" customHeight="1">
      <c r="A1" t="s">
        <v>99</v>
      </c>
    </row>
    <row r="2" spans="1:2" ht="14.25" customHeight="1">
      <c r="A2" s="28" t="s">
        <v>91</v>
      </c>
      <c r="B2" s="28" t="s">
        <v>92</v>
      </c>
    </row>
    <row r="3" spans="1:2" ht="57.6">
      <c r="A3" s="19" t="s">
        <v>93</v>
      </c>
      <c r="B3" s="19" t="s">
        <v>100</v>
      </c>
    </row>
    <row r="4" spans="1:2" ht="86.45">
      <c r="A4" s="4" t="s">
        <v>95</v>
      </c>
      <c r="B4" s="19" t="s">
        <v>101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2026-04-14T13:46:44Z</dcterms:created>
  <dcterms:modified xsi:type="dcterms:W3CDTF">2026-04-15T03:10:57Z</dcterms:modified>
  <cp:category/>
  <cp:contentStatus/>
</cp:coreProperties>
</file>