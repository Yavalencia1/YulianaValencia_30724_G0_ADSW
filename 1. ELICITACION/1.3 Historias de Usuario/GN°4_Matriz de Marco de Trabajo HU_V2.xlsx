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Github\YulianaValencia_30724_G4_ADSW\1. ELICITACION\1.3 Historias de Usuario\"/>
    </mc:Choice>
  </mc:AlternateContent>
  <xr:revisionPtr revIDLastSave="0" documentId="13_ncr:1_{20F816D0-865B-4915-A459-86335E405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E21" i="2"/>
  <c r="E18" i="2"/>
  <c r="M14" i="2"/>
  <c r="H14" i="2"/>
  <c r="D14" i="2"/>
  <c r="H12" i="2"/>
  <c r="E12" i="2"/>
  <c r="C12" i="2"/>
  <c r="H10" i="2"/>
  <c r="E10" i="2"/>
</calcChain>
</file>

<file path=xl/sharedStrings.xml><?xml version="1.0" encoding="utf-8"?>
<sst xmlns="http://schemas.openxmlformats.org/spreadsheetml/2006/main" count="247" uniqueCount="181">
  <si>
    <t>Matriz de Marco de Trabajo de HU</t>
  </si>
  <si>
    <t>ITEM</t>
  </si>
  <si>
    <t>PROBLEMA</t>
  </si>
  <si>
    <t>QUE (NECESIDAD)</t>
  </si>
  <si>
    <t>PARA QUE (SOLUCIÓN)</t>
  </si>
  <si>
    <t>PARA QUIEN (USUARIO)</t>
  </si>
  <si>
    <t>COMO (DESCRIPCIÓN DE TAREAS)</t>
  </si>
  <si>
    <t>HECHO POR (PROG. RESP.)</t>
  </si>
  <si>
    <t>CUANTO TIEMPO (ESTIMADO EN HRS)</t>
  </si>
  <si>
    <t>FECHA DE ENTREGA</t>
  </si>
  <si>
    <t>PRIORIDAD</t>
  </si>
  <si>
    <t>STATUS</t>
  </si>
  <si>
    <t>PRUEBA (COMO SE VERIFICA)</t>
  </si>
  <si>
    <t>COMENTARIOS</t>
  </si>
  <si>
    <t>NOMBRE DE HISTORIA</t>
  </si>
  <si>
    <t>RF01</t>
  </si>
  <si>
    <t>Falta de acceso seguro y autenticado al sistema.</t>
  </si>
  <si>
    <t>Deberá permitir el inicio de sesión.</t>
  </si>
  <si>
    <t>Tener acceso a las distintas gestiones según el rol.</t>
  </si>
  <si>
    <t>Administrador, técnico, cliente.</t>
  </si>
  <si>
    <t>Diseñar interfaz de login, validar credenciales en BD y redireccionar.</t>
  </si>
  <si>
    <t>Justin Villarroel</t>
  </si>
  <si>
    <t>Alta</t>
  </si>
  <si>
    <t>En proceso</t>
  </si>
  <si>
    <t>Ingresar credenciales correctas/incorrectas y verificar acceso o rechazo.</t>
  </si>
  <si>
    <t>Seguridad y autenticación.</t>
  </si>
  <si>
    <t>Iniciar Sesión</t>
  </si>
  <si>
    <t>RF02</t>
  </si>
  <si>
    <t>Usuarios pierden el acceso por olvido de su clave.</t>
  </si>
  <si>
    <t>Deberá permitir la recuperación de la contraseña.</t>
  </si>
  <si>
    <t>Recuperar el acceso al perfil de forma autónoma.</t>
  </si>
  <si>
    <t>Implementar módulo de envío de correo de recuperación y reseteo.</t>
  </si>
  <si>
    <t>Sebastián Lasso</t>
  </si>
  <si>
    <t>Por hacer</t>
  </si>
  <si>
    <t>Solicitar recuperación, recibir enlace y cambiar contraseña.</t>
  </si>
  <si>
    <t>Integración con servidor de correo.</t>
  </si>
  <si>
    <t>Olvidar contraseña</t>
  </si>
  <si>
    <t>RF03</t>
  </si>
  <si>
    <t>Clientes nuevos no tienen una vía para entrar al sistema.</t>
  </si>
  <si>
    <t>Deberá permitir el autoregistro de un nuevo perfil.</t>
  </si>
  <si>
    <t>Crear una cuenta proporcionando información personal básica.</t>
  </si>
  <si>
    <t>Administrador, cliente.</t>
  </si>
  <si>
    <t>Diseñar formulario de registro público y guardar datos.</t>
  </si>
  <si>
    <t>Yuliana Valencia</t>
  </si>
  <si>
    <t>Llenar formulario público y verificar creación en la base de datos.</t>
  </si>
  <si>
    <t>Registro externo.</t>
  </si>
  <si>
    <t>Registrar perfil</t>
  </si>
  <si>
    <t>RF04</t>
  </si>
  <si>
    <t>El taller no puede ingresar manualmente a clientes presenciales.</t>
  </si>
  <si>
    <t>Deberá permitir al administrador crear perfiles de clientes.</t>
  </si>
  <si>
    <t>Agilizar el registro de usuarios directamente desde la administración.</t>
  </si>
  <si>
    <t>Administrador</t>
  </si>
  <si>
    <t>Crear módulo interno administrativo de registro de usuarios.</t>
  </si>
  <si>
    <t>Crear usuario desde el panel admin y validar su aparición en lista.</t>
  </si>
  <si>
    <t>Gestión interna.</t>
  </si>
  <si>
    <t>Crear Perfil a Cliente</t>
  </si>
  <si>
    <t>RF05</t>
  </si>
  <si>
    <t>No hay registro formal del ingreso de dispositivos.</t>
  </si>
  <si>
    <t>Deberá permitir registrar nuevos mantenimientos.</t>
  </si>
  <si>
    <t>Gestionar las reparaciones y controlar el estado inicial del equipo.</t>
  </si>
  <si>
    <t>Crear formulario de ingreso detallando equipo, daños y cliente.</t>
  </si>
  <si>
    <t>Llenar ficha técnica y verificar vinculación con el cliente.</t>
  </si>
  <si>
    <t>Operación core del sistema.</t>
  </si>
  <si>
    <t>Registrar Mantenimiento</t>
  </si>
  <si>
    <t>RF06</t>
  </si>
  <si>
    <t>Dificultad para localizar órdenes de trabajo específicas.</t>
  </si>
  <si>
    <t>Deberá permitir consultar todos los mantenimientos.</t>
  </si>
  <si>
    <t>Encontrar registros rápidamente mediante búsquedas, filtros y ordenaciones.</t>
  </si>
  <si>
    <t>Implementar tabla de datos dinámica con barras de búsqueda.</t>
  </si>
  <si>
    <t>Buscar por ID o filtrar por estado y verificar resultados en pantalla.</t>
  </si>
  <si>
    <t>Experiencia de usuario (UX).</t>
  </si>
  <si>
    <t>Consultar Mantenimientos</t>
  </si>
  <si>
    <t>RF07</t>
  </si>
  <si>
    <t>Los avances de reparación no se reflejan en el sistema.</t>
  </si>
  <si>
    <t>Deberá permitir editar la información del mantenimiento.</t>
  </si>
  <si>
    <t>Actualizar el estado de la reparación y observaciones del equipo.</t>
  </si>
  <si>
    <t>Administrador, Técnico</t>
  </si>
  <si>
    <t>Habilitar edición de campos específicos (estado, diagnóstico).</t>
  </si>
  <si>
    <t>Cambiar el estado a "Reparado" y verificar actualización.</t>
  </si>
  <si>
    <t>Control de permisos técnicos.</t>
  </si>
  <si>
    <t>Editar Mantenimiento</t>
  </si>
  <si>
    <t>RF08</t>
  </si>
  <si>
    <t>Los equipos ingresan sin un responsable designado.</t>
  </si>
  <si>
    <t>Deberá permitir asignar un técnico durante el registro.</t>
  </si>
  <si>
    <t>Definir el responsable inicial de la reparación del dispositivo.</t>
  </si>
  <si>
    <t>Agregar selector dinámico de técnicos en el formulario de ingreso.</t>
  </si>
  <si>
    <t>Seleccionar un técnico al ingresar equipo y verificar asignación.</t>
  </si>
  <si>
    <t>Relación de base de datos.</t>
  </si>
  <si>
    <t>Asignar Técnico</t>
  </si>
  <si>
    <t>RF09</t>
  </si>
  <si>
    <t>Técnicos se ausentan y los equipos quedan sin gestión.</t>
  </si>
  <si>
    <t>Deberá permitir reasignar un técnico diferente.</t>
  </si>
  <si>
    <t>Mantener el flujo de trabajo si hay cambios de personal u horarios.</t>
  </si>
  <si>
    <t>Habilitar edición del campo de técnico en órdenes ya activas.</t>
  </si>
  <si>
    <t>Cambiar el técnico asignado y verificar que pase a la nueva lista.</t>
  </si>
  <si>
    <t>Flujo de contingencia.</t>
  </si>
  <si>
    <t>Reasignar Técnico</t>
  </si>
  <si>
    <t>RF10</t>
  </si>
  <si>
    <t>Faltan respaldos físicos de las órdenes.</t>
  </si>
  <si>
    <t>Permitir imprimir la información solicitada.</t>
  </si>
  <si>
    <t>Obtener un informe físico o digital previo a la ejecución.</t>
  </si>
  <si>
    <t>Implementar librería para generación de reportes e interfaz de impresión.</t>
  </si>
  <si>
    <t>Dar clic en el botón imprimir y verificar el despliegue del documento.</t>
  </si>
  <si>
    <t>Generación de formato PDF.</t>
  </si>
  <si>
    <t>Imprimir Informe</t>
  </si>
  <si>
    <t>RF11</t>
  </si>
  <si>
    <t>El cliente no se entera de los avances de su equipo.</t>
  </si>
  <si>
    <t>Enviar notificaciones automáticas.</t>
  </si>
  <si>
    <t>Alertar sobre actualizaciones en el estado del mantenimiento.</t>
  </si>
  <si>
    <t>Whatsapp API, API de correo</t>
  </si>
  <si>
    <t>Configurar eventos automáticos que consuman las APIs al cambiar estados.</t>
  </si>
  <si>
    <t>Cambiar estado de una orden y verificar recepción del mensaje o correo.</t>
  </si>
  <si>
    <t>Requiere patrón Observer y Bridge.</t>
  </si>
  <si>
    <t>Enviar Notificación Automática</t>
  </si>
  <si>
    <t>RF12</t>
  </si>
  <si>
    <t>No existe un listado del personal reparador.</t>
  </si>
  <si>
    <t>Permitir registrar perfiles de técnicos.</t>
  </si>
  <si>
    <t>Añadir al personal encargado de realizar las reparaciones.</t>
  </si>
  <si>
    <t>Crear formulario de ingreso de técnico y persistir datos.</t>
  </si>
  <si>
    <t>Llenar formulario y verificar que se guarde correctamente.</t>
  </si>
  <si>
    <t>Crear Perfil de Técnico</t>
  </si>
  <si>
    <t>RF13</t>
  </si>
  <si>
    <t>Es difícil ubicar la información de un trabajador.</t>
  </si>
  <si>
    <t>Consultar los técnicos registrados.</t>
  </si>
  <si>
    <t>Encontrar técnicos mediante búsquedas, filtros y ordenaciones.</t>
  </si>
  <si>
    <t>Diseñar tabla interactiva para el módulo de técnicos.</t>
  </si>
  <si>
    <t>Buscar un técnico por nombre y verificar que la tabla se filtre.</t>
  </si>
  <si>
    <t>Consultar Técnicos</t>
  </si>
  <si>
    <t>RF14</t>
  </si>
  <si>
    <t>Los datos de contacto del personal quedan obsoletos.</t>
  </si>
  <si>
    <t>Editar la información del perfil del técnico.</t>
  </si>
  <si>
    <t>Mantener actualizada la especialidad y datos del personal.</t>
  </si>
  <si>
    <t>Habilitar la actualización de campos en la vista de perfil de técnico.</t>
  </si>
  <si>
    <t>Modificar una especialidad y validar que los cambios se guarden.</t>
  </si>
  <si>
    <t>Editar Técnico</t>
  </si>
  <si>
    <t>RF15</t>
  </si>
  <si>
    <t>El administrador no tiene cómo revisar la cartera de clientes.</t>
  </si>
  <si>
    <t>Consultar clientes registrados en el sistema.</t>
  </si>
  <si>
    <t>Visualizar a los usuarios mediante búsquedas y ordenaciones.</t>
  </si>
  <si>
    <t>Construir panel de listado de clientes con herramientas de ordenación.</t>
  </si>
  <si>
    <t>Ordenar clientes alfabéticamente y verificar el funcionamiento.</t>
  </si>
  <si>
    <t>Consultar Clientes</t>
  </si>
  <si>
    <t>RF16</t>
  </si>
  <si>
    <t>El cliente no puede corregir errores en sus datos personales.</t>
  </si>
  <si>
    <t>Editar la información de su perfil registrado.</t>
  </si>
  <si>
    <t>Permitir que el cliente autogestione su información.</t>
  </si>
  <si>
    <t>Cliente</t>
  </si>
  <si>
    <t>Habilitar formulario de edición vinculado exclusivamente a su sesión.</t>
  </si>
  <si>
    <t>Iniciar sesión como cliente, cambiar un teléfono y verificar guardado.</t>
  </si>
  <si>
    <t>Aplicar Proxy para validar sesión.</t>
  </si>
  <si>
    <t>Editar Cliente</t>
  </si>
  <si>
    <t>RF17</t>
  </si>
  <si>
    <t>El cliente no sabe el progreso de sus dispositivos.</t>
  </si>
  <si>
    <t>Consultar todos los mantenimientos del perfil.</t>
  </si>
  <si>
    <t>Monitorear órdenes propias con búsquedas, filtros y ordenaciones.</t>
  </si>
  <si>
    <t>Desplegar lista de mantenimientos cuyo ID de cliente coincida con la sesión actual.</t>
  </si>
  <si>
    <t>Buscar por ID de orden y verificar que se muestre el estado de su equipo.</t>
  </si>
  <si>
    <t>Restringir vista a datos propios.</t>
  </si>
  <si>
    <t>Consultar Mantenimientos de Perfil</t>
  </si>
  <si>
    <t>RF18</t>
  </si>
  <si>
    <t>El técnico no puede organizar su jornada laboral.</t>
  </si>
  <si>
    <t>Consultar todos los mantenimientos asignados.</t>
  </si>
  <si>
    <t>Visualizar las reparaciones pendientes con búsquedas y filtros.</t>
  </si>
  <si>
    <t>Técnico</t>
  </si>
  <si>
    <t>Filtrar mantenimientos activos donde el técnico asignado sea el usuario en sesión.</t>
  </si>
  <si>
    <t>Iniciar sesión como técnico y verificar que solo aparezcan sus asignaciones.</t>
  </si>
  <si>
    <t>Consultar Mantenimientos Asignados</t>
  </si>
  <si>
    <t>No iniciado</t>
  </si>
  <si>
    <t xml:space="preserve">Media </t>
  </si>
  <si>
    <t>Baja</t>
  </si>
  <si>
    <t>Terminado</t>
  </si>
  <si>
    <t>Atrasado</t>
  </si>
  <si>
    <t>HISTORIA DE USUARIO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</si>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</sst>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/>
    <xf numFmtId="0" fontId="11" fillId="5" borderId="29" xfId="0" applyFont="1" applyFill="1" applyBorder="1"/>
    <xf numFmtId="0" fontId="11" fillId="5" borderId="30" xfId="0" applyFont="1" applyFill="1" applyBorder="1"/>
    <xf numFmtId="0" fontId="10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2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5" fillId="8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2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9" fillId="3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0" fillId="0" borderId="0" xfId="0"/>
    <xf numFmtId="0" fontId="3" fillId="0" borderId="21" xfId="0" applyFont="1" applyBorder="1"/>
    <xf numFmtId="0" fontId="10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F14" workbookViewId="0">
      <selection activeCell="O21" sqref="O21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3" width="25.09765625" customWidth="1"/>
    <col min="4" max="4" width="31.09765625" customWidth="1"/>
    <col min="5" max="5" width="20.59765625" customWidth="1"/>
    <col min="6" max="6" width="13.09765625" customWidth="1"/>
    <col min="7" max="7" width="39.59765625" customWidth="1"/>
    <col min="8" max="12" width="10.59765625" customWidth="1"/>
    <col min="13" max="13" width="32.5976562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25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4</v>
      </c>
      <c r="J6" s="7">
        <v>46188</v>
      </c>
      <c r="K6" s="6" t="s">
        <v>22</v>
      </c>
      <c r="L6" s="6" t="s">
        <v>23</v>
      </c>
      <c r="M6" s="8" t="s">
        <v>24</v>
      </c>
      <c r="N6" s="6" t="s">
        <v>25</v>
      </c>
      <c r="O6" s="9" t="s">
        <v>26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4.5" customHeight="1" x14ac:dyDescent="0.25">
      <c r="A7" s="5"/>
      <c r="B7" s="6" t="s">
        <v>27</v>
      </c>
      <c r="C7" s="6" t="s">
        <v>28</v>
      </c>
      <c r="D7" s="11" t="s">
        <v>29</v>
      </c>
      <c r="E7" s="6" t="s">
        <v>30</v>
      </c>
      <c r="F7" s="6" t="s">
        <v>19</v>
      </c>
      <c r="G7" s="11" t="s">
        <v>31</v>
      </c>
      <c r="H7" s="6" t="s">
        <v>32</v>
      </c>
      <c r="I7" s="6">
        <v>5</v>
      </c>
      <c r="J7" s="7">
        <v>46189</v>
      </c>
      <c r="K7" s="6" t="s">
        <v>22</v>
      </c>
      <c r="L7" s="6" t="s">
        <v>33</v>
      </c>
      <c r="M7" s="6" t="s">
        <v>34</v>
      </c>
      <c r="N7" s="6" t="s">
        <v>35</v>
      </c>
      <c r="O7" s="12" t="s">
        <v>36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1.5" customHeight="1" x14ac:dyDescent="0.25">
      <c r="A8" s="5"/>
      <c r="B8" s="6" t="s">
        <v>37</v>
      </c>
      <c r="C8" s="6" t="s">
        <v>38</v>
      </c>
      <c r="D8" s="11" t="s">
        <v>39</v>
      </c>
      <c r="E8" s="6" t="s">
        <v>40</v>
      </c>
      <c r="F8" s="6" t="s">
        <v>41</v>
      </c>
      <c r="G8" s="11" t="s">
        <v>42</v>
      </c>
      <c r="H8" s="6" t="s">
        <v>43</v>
      </c>
      <c r="I8" s="6">
        <v>6</v>
      </c>
      <c r="J8" s="7">
        <v>46190</v>
      </c>
      <c r="K8" s="6" t="s">
        <v>22</v>
      </c>
      <c r="L8" s="6" t="s">
        <v>23</v>
      </c>
      <c r="M8" s="6" t="s">
        <v>44</v>
      </c>
      <c r="N8" s="6" t="s">
        <v>45</v>
      </c>
      <c r="O8" s="12" t="s">
        <v>46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0.5" customHeight="1" x14ac:dyDescent="0.25">
      <c r="A9" s="5"/>
      <c r="B9" s="6" t="s">
        <v>47</v>
      </c>
      <c r="C9" s="6" t="s">
        <v>48</v>
      </c>
      <c r="D9" s="11" t="s">
        <v>49</v>
      </c>
      <c r="E9" s="6" t="s">
        <v>50</v>
      </c>
      <c r="F9" s="6" t="s">
        <v>51</v>
      </c>
      <c r="G9" s="11" t="s">
        <v>52</v>
      </c>
      <c r="H9" s="6" t="s">
        <v>21</v>
      </c>
      <c r="I9" s="6">
        <v>4</v>
      </c>
      <c r="J9" s="7">
        <v>46191</v>
      </c>
      <c r="K9" s="6" t="s">
        <v>22</v>
      </c>
      <c r="L9" s="6" t="s">
        <v>33</v>
      </c>
      <c r="M9" s="6" t="s">
        <v>53</v>
      </c>
      <c r="N9" s="6" t="s">
        <v>54</v>
      </c>
      <c r="O9" s="12" t="s">
        <v>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5"/>
      <c r="B10" s="6" t="s">
        <v>56</v>
      </c>
      <c r="C10" s="6" t="s">
        <v>57</v>
      </c>
      <c r="D10" s="11" t="s">
        <v>58</v>
      </c>
      <c r="E10" s="6" t="s">
        <v>59</v>
      </c>
      <c r="F10" s="6" t="s">
        <v>51</v>
      </c>
      <c r="G10" s="11" t="s">
        <v>60</v>
      </c>
      <c r="H10" s="6" t="s">
        <v>32</v>
      </c>
      <c r="I10" s="6">
        <v>6</v>
      </c>
      <c r="J10" s="7">
        <v>46192</v>
      </c>
      <c r="K10" s="6" t="s">
        <v>22</v>
      </c>
      <c r="L10" s="6" t="s">
        <v>23</v>
      </c>
      <c r="M10" s="6" t="s">
        <v>61</v>
      </c>
      <c r="N10" s="6" t="s">
        <v>62</v>
      </c>
      <c r="O10" s="12" t="s">
        <v>63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25">
      <c r="A11" s="5"/>
      <c r="B11" s="6" t="s">
        <v>64</v>
      </c>
      <c r="C11" s="6" t="s">
        <v>65</v>
      </c>
      <c r="D11" s="11" t="s">
        <v>66</v>
      </c>
      <c r="E11" s="6" t="s">
        <v>67</v>
      </c>
      <c r="F11" s="6" t="s">
        <v>51</v>
      </c>
      <c r="G11" s="11" t="s">
        <v>68</v>
      </c>
      <c r="H11" s="6" t="s">
        <v>43</v>
      </c>
      <c r="I11" s="6">
        <v>5</v>
      </c>
      <c r="J11" s="7">
        <v>46193</v>
      </c>
      <c r="K11" s="6" t="s">
        <v>22</v>
      </c>
      <c r="L11" s="6" t="s">
        <v>33</v>
      </c>
      <c r="M11" s="6" t="s">
        <v>69</v>
      </c>
      <c r="N11" s="6" t="s">
        <v>70</v>
      </c>
      <c r="O11" s="12" t="s">
        <v>71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5"/>
      <c r="B12" s="6" t="s">
        <v>72</v>
      </c>
      <c r="C12" s="6" t="s">
        <v>73</v>
      </c>
      <c r="D12" s="11" t="s">
        <v>74</v>
      </c>
      <c r="E12" s="6" t="s">
        <v>75</v>
      </c>
      <c r="F12" s="6" t="s">
        <v>76</v>
      </c>
      <c r="G12" s="11" t="s">
        <v>77</v>
      </c>
      <c r="H12" s="6" t="s">
        <v>21</v>
      </c>
      <c r="I12" s="6">
        <v>5</v>
      </c>
      <c r="J12" s="7">
        <v>46195</v>
      </c>
      <c r="K12" s="6" t="s">
        <v>22</v>
      </c>
      <c r="L12" s="6" t="s">
        <v>23</v>
      </c>
      <c r="M12" s="6" t="s">
        <v>78</v>
      </c>
      <c r="N12" s="6" t="s">
        <v>79</v>
      </c>
      <c r="O12" s="12" t="s">
        <v>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5"/>
      <c r="B13" s="6" t="s">
        <v>81</v>
      </c>
      <c r="C13" s="6" t="s">
        <v>82</v>
      </c>
      <c r="D13" s="11" t="s">
        <v>83</v>
      </c>
      <c r="E13" s="6" t="s">
        <v>84</v>
      </c>
      <c r="F13" s="6" t="s">
        <v>51</v>
      </c>
      <c r="G13" s="11" t="s">
        <v>85</v>
      </c>
      <c r="H13" s="6" t="s">
        <v>32</v>
      </c>
      <c r="I13" s="6">
        <v>3</v>
      </c>
      <c r="J13" s="7">
        <v>46196</v>
      </c>
      <c r="K13" s="6" t="s">
        <v>22</v>
      </c>
      <c r="L13" s="6" t="s">
        <v>33</v>
      </c>
      <c r="M13" s="6" t="s">
        <v>86</v>
      </c>
      <c r="N13" s="6" t="s">
        <v>87</v>
      </c>
      <c r="O13" s="12" t="s">
        <v>88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5"/>
      <c r="B14" s="6" t="s">
        <v>89</v>
      </c>
      <c r="C14" s="6" t="s">
        <v>90</v>
      </c>
      <c r="D14" s="11" t="s">
        <v>91</v>
      </c>
      <c r="E14" s="6" t="s">
        <v>92</v>
      </c>
      <c r="F14" s="6" t="s">
        <v>51</v>
      </c>
      <c r="G14" s="11" t="s">
        <v>93</v>
      </c>
      <c r="H14" s="6" t="s">
        <v>43</v>
      </c>
      <c r="I14" s="6">
        <v>3</v>
      </c>
      <c r="J14" s="7">
        <v>46197</v>
      </c>
      <c r="K14" s="6" t="s">
        <v>22</v>
      </c>
      <c r="L14" s="6" t="s">
        <v>33</v>
      </c>
      <c r="M14" s="6" t="s">
        <v>94</v>
      </c>
      <c r="N14" s="6" t="s">
        <v>95</v>
      </c>
      <c r="O14" s="12" t="s">
        <v>96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5"/>
      <c r="B15" s="6" t="s">
        <v>97</v>
      </c>
      <c r="C15" s="6" t="s">
        <v>98</v>
      </c>
      <c r="D15" s="11" t="s">
        <v>99</v>
      </c>
      <c r="E15" s="6" t="s">
        <v>100</v>
      </c>
      <c r="F15" s="6" t="s">
        <v>76</v>
      </c>
      <c r="G15" s="11" t="s">
        <v>101</v>
      </c>
      <c r="H15" s="6" t="s">
        <v>43</v>
      </c>
      <c r="I15" s="6">
        <v>4</v>
      </c>
      <c r="J15" s="7">
        <v>46198</v>
      </c>
      <c r="K15" s="6" t="s">
        <v>22</v>
      </c>
      <c r="L15" s="6" t="s">
        <v>33</v>
      </c>
      <c r="M15" s="6" t="s">
        <v>102</v>
      </c>
      <c r="N15" s="6" t="s">
        <v>103</v>
      </c>
      <c r="O15" s="12" t="s">
        <v>104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6" t="s">
        <v>105</v>
      </c>
      <c r="C16" s="6" t="s">
        <v>106</v>
      </c>
      <c r="D16" s="11" t="s">
        <v>107</v>
      </c>
      <c r="E16" s="6" t="s">
        <v>108</v>
      </c>
      <c r="F16" s="6" t="s">
        <v>109</v>
      </c>
      <c r="G16" s="11" t="s">
        <v>110</v>
      </c>
      <c r="H16" s="6" t="s">
        <v>21</v>
      </c>
      <c r="I16" s="6">
        <v>8</v>
      </c>
      <c r="J16" s="7">
        <v>46199</v>
      </c>
      <c r="K16" s="6" t="s">
        <v>22</v>
      </c>
      <c r="L16" s="6" t="s">
        <v>33</v>
      </c>
      <c r="M16" s="6" t="s">
        <v>111</v>
      </c>
      <c r="N16" s="6" t="s">
        <v>112</v>
      </c>
      <c r="O16" s="12" t="s">
        <v>113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6" t="s">
        <v>114</v>
      </c>
      <c r="C17" s="6" t="s">
        <v>115</v>
      </c>
      <c r="D17" s="11" t="s">
        <v>116</v>
      </c>
      <c r="E17" s="6" t="s">
        <v>117</v>
      </c>
      <c r="F17" s="6" t="s">
        <v>51</v>
      </c>
      <c r="G17" s="11" t="s">
        <v>118</v>
      </c>
      <c r="H17" s="6" t="s">
        <v>32</v>
      </c>
      <c r="I17" s="6">
        <v>4</v>
      </c>
      <c r="J17" s="7">
        <v>46200</v>
      </c>
      <c r="K17" s="6" t="s">
        <v>22</v>
      </c>
      <c r="L17" s="6" t="s">
        <v>33</v>
      </c>
      <c r="M17" s="6" t="s">
        <v>119</v>
      </c>
      <c r="N17" s="6"/>
      <c r="O17" s="12" t="s">
        <v>120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" customHeight="1" x14ac:dyDescent="0.25">
      <c r="A18" s="5"/>
      <c r="B18" s="6" t="s">
        <v>121</v>
      </c>
      <c r="C18" s="6" t="s">
        <v>122</v>
      </c>
      <c r="D18" s="11" t="s">
        <v>123</v>
      </c>
      <c r="E18" s="6" t="s">
        <v>124</v>
      </c>
      <c r="F18" s="6" t="s">
        <v>51</v>
      </c>
      <c r="G18" s="11" t="s">
        <v>125</v>
      </c>
      <c r="H18" s="6" t="s">
        <v>43</v>
      </c>
      <c r="I18" s="6">
        <v>5</v>
      </c>
      <c r="J18" s="7">
        <v>46201</v>
      </c>
      <c r="K18" s="6" t="s">
        <v>22</v>
      </c>
      <c r="L18" s="6" t="s">
        <v>33</v>
      </c>
      <c r="M18" s="6" t="s">
        <v>126</v>
      </c>
      <c r="N18" s="6"/>
      <c r="O18" s="12" t="s">
        <v>127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25" customHeight="1" x14ac:dyDescent="0.25">
      <c r="A19" s="5"/>
      <c r="B19" s="6" t="s">
        <v>128</v>
      </c>
      <c r="C19" s="6" t="s">
        <v>129</v>
      </c>
      <c r="D19" s="11" t="s">
        <v>130</v>
      </c>
      <c r="E19" s="6" t="s">
        <v>131</v>
      </c>
      <c r="F19" s="6" t="s">
        <v>76</v>
      </c>
      <c r="G19" s="11" t="s">
        <v>132</v>
      </c>
      <c r="H19" s="6" t="s">
        <v>21</v>
      </c>
      <c r="I19" s="6">
        <v>4</v>
      </c>
      <c r="J19" s="7">
        <v>46202</v>
      </c>
      <c r="K19" s="6" t="s">
        <v>22</v>
      </c>
      <c r="L19" s="6" t="s">
        <v>33</v>
      </c>
      <c r="M19" s="6" t="s">
        <v>133</v>
      </c>
      <c r="N19" s="6"/>
      <c r="O19" s="12" t="s">
        <v>134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" customHeight="1" x14ac:dyDescent="0.25">
      <c r="A20" s="5"/>
      <c r="B20" s="6" t="s">
        <v>135</v>
      </c>
      <c r="C20" s="6" t="s">
        <v>136</v>
      </c>
      <c r="D20" s="11" t="s">
        <v>137</v>
      </c>
      <c r="E20" s="6" t="s">
        <v>138</v>
      </c>
      <c r="F20" s="6" t="s">
        <v>51</v>
      </c>
      <c r="G20" s="11" t="s">
        <v>139</v>
      </c>
      <c r="H20" s="6" t="s">
        <v>32</v>
      </c>
      <c r="I20" s="6">
        <v>4</v>
      </c>
      <c r="J20" s="7">
        <v>46203</v>
      </c>
      <c r="K20" s="6" t="s">
        <v>22</v>
      </c>
      <c r="L20" s="6" t="s">
        <v>33</v>
      </c>
      <c r="M20" s="6" t="s">
        <v>140</v>
      </c>
      <c r="N20" s="6"/>
      <c r="O20" s="12" t="s">
        <v>141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5"/>
      <c r="B21" s="6" t="s">
        <v>142</v>
      </c>
      <c r="C21" s="6" t="s">
        <v>143</v>
      </c>
      <c r="D21" s="11" t="s">
        <v>144</v>
      </c>
      <c r="E21" s="6" t="s">
        <v>145</v>
      </c>
      <c r="F21" s="6" t="s">
        <v>146</v>
      </c>
      <c r="G21" s="11" t="s">
        <v>147</v>
      </c>
      <c r="H21" s="6" t="s">
        <v>43</v>
      </c>
      <c r="I21" s="6">
        <v>3</v>
      </c>
      <c r="J21" s="7">
        <v>46204</v>
      </c>
      <c r="K21" s="6" t="s">
        <v>22</v>
      </c>
      <c r="L21" s="6" t="s">
        <v>33</v>
      </c>
      <c r="M21" s="6" t="s">
        <v>148</v>
      </c>
      <c r="N21" s="6" t="s">
        <v>149</v>
      </c>
      <c r="O21" s="12" t="s">
        <v>150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x14ac:dyDescent="0.25">
      <c r="A22" s="5"/>
      <c r="B22" s="6" t="s">
        <v>151</v>
      </c>
      <c r="C22" s="6" t="s">
        <v>152</v>
      </c>
      <c r="D22" s="11" t="s">
        <v>153</v>
      </c>
      <c r="E22" s="6" t="s">
        <v>154</v>
      </c>
      <c r="F22" s="6" t="s">
        <v>146</v>
      </c>
      <c r="G22" s="11" t="s">
        <v>155</v>
      </c>
      <c r="H22" s="6" t="s">
        <v>21</v>
      </c>
      <c r="I22" s="6">
        <v>5</v>
      </c>
      <c r="J22" s="7">
        <v>46205</v>
      </c>
      <c r="K22" s="6" t="s">
        <v>22</v>
      </c>
      <c r="L22" s="6" t="s">
        <v>33</v>
      </c>
      <c r="M22" s="6" t="s">
        <v>156</v>
      </c>
      <c r="N22" s="6" t="s">
        <v>157</v>
      </c>
      <c r="O22" s="12" t="s">
        <v>158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25">
      <c r="A23" s="1"/>
      <c r="B23" s="6" t="s">
        <v>159</v>
      </c>
      <c r="C23" s="6" t="s">
        <v>160</v>
      </c>
      <c r="D23" s="11" t="s">
        <v>161</v>
      </c>
      <c r="E23" s="6" t="s">
        <v>162</v>
      </c>
      <c r="F23" s="6" t="s">
        <v>163</v>
      </c>
      <c r="G23" s="11" t="s">
        <v>164</v>
      </c>
      <c r="H23" s="6" t="s">
        <v>32</v>
      </c>
      <c r="I23" s="6">
        <v>5</v>
      </c>
      <c r="J23" s="7">
        <v>46206</v>
      </c>
      <c r="K23" s="6" t="s">
        <v>22</v>
      </c>
      <c r="L23" s="6" t="s">
        <v>33</v>
      </c>
      <c r="M23" s="6" t="s">
        <v>165</v>
      </c>
      <c r="N23" s="6"/>
      <c r="O23" s="12" t="s">
        <v>166</v>
      </c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5"/>
      <c r="I24" s="13"/>
      <c r="J24" s="13"/>
      <c r="K24" s="14"/>
      <c r="L24" s="13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13"/>
      <c r="J25" s="13"/>
      <c r="K25" s="14"/>
      <c r="L25" s="13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13"/>
      <c r="J26" s="13"/>
      <c r="K26" s="15"/>
      <c r="L26" s="13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13"/>
      <c r="J27" s="5"/>
      <c r="K27" s="5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13"/>
      <c r="J28" s="5"/>
      <c r="K28" s="5"/>
      <c r="L28" s="5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13"/>
      <c r="J29" s="5"/>
      <c r="K29" s="15" t="s">
        <v>22</v>
      </c>
      <c r="L29" s="15" t="s">
        <v>167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13"/>
      <c r="J30" s="5"/>
      <c r="K30" s="15" t="s">
        <v>168</v>
      </c>
      <c r="L30" s="15" t="s">
        <v>23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13"/>
      <c r="J31" s="5"/>
      <c r="K31" s="15" t="s">
        <v>169</v>
      </c>
      <c r="L31" s="15" t="s">
        <v>170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13"/>
      <c r="J32" s="5"/>
      <c r="K32" s="15"/>
      <c r="L32" s="15" t="s">
        <v>171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13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13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13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13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13"/>
      <c r="J37" s="13"/>
      <c r="K37" s="15"/>
      <c r="L37" s="13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13"/>
      <c r="J38" s="13"/>
      <c r="K38" s="15"/>
      <c r="L38" s="13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13"/>
      <c r="J39" s="13"/>
      <c r="K39" s="15"/>
      <c r="L39" s="13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13"/>
      <c r="J40" s="13"/>
      <c r="K40" s="15"/>
      <c r="L40" s="13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13"/>
      <c r="J41" s="13"/>
      <c r="K41" s="15"/>
      <c r="L41" s="13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13"/>
      <c r="J42" s="13"/>
      <c r="K42" s="15"/>
      <c r="L42" s="13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13"/>
      <c r="J43" s="13"/>
      <c r="K43" s="15"/>
      <c r="L43" s="13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13"/>
      <c r="J44" s="13"/>
      <c r="K44" s="15"/>
      <c r="L44" s="1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13"/>
      <c r="J45" s="13"/>
      <c r="K45" s="15"/>
      <c r="L45" s="1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13"/>
      <c r="J46" s="13"/>
      <c r="K46" s="15"/>
      <c r="L46" s="1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13"/>
      <c r="J47" s="13"/>
      <c r="K47" s="15"/>
      <c r="L47" s="1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13"/>
      <c r="J48" s="13"/>
      <c r="K48" s="15"/>
      <c r="L48" s="1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13"/>
      <c r="J49" s="13"/>
      <c r="K49" s="15"/>
      <c r="L49" s="1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13"/>
      <c r="J50" s="13"/>
      <c r="K50" s="15"/>
      <c r="L50" s="1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13"/>
      <c r="J51" s="13"/>
      <c r="K51" s="15"/>
      <c r="L51" s="13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13"/>
      <c r="J52" s="13"/>
      <c r="K52" s="15"/>
      <c r="L52" s="13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13"/>
      <c r="J53" s="13"/>
      <c r="K53" s="15"/>
      <c r="L53" s="13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13"/>
      <c r="J54" s="13"/>
      <c r="K54" s="15"/>
      <c r="L54" s="13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13"/>
      <c r="J55" s="13"/>
      <c r="K55" s="15"/>
      <c r="L55" s="1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13"/>
      <c r="J56" s="13"/>
      <c r="K56" s="15"/>
      <c r="L56" s="1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13"/>
      <c r="J57" s="13"/>
      <c r="K57" s="15"/>
      <c r="L57" s="1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13"/>
      <c r="J58" s="13"/>
      <c r="K58" s="15"/>
      <c r="L58" s="1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13"/>
      <c r="J59" s="13"/>
      <c r="K59" s="15"/>
      <c r="L59" s="1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13"/>
      <c r="J60" s="13"/>
      <c r="K60" s="15"/>
      <c r="L60" s="1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13"/>
      <c r="J61" s="13"/>
      <c r="K61" s="15"/>
      <c r="L61" s="1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13"/>
      <c r="J62" s="13"/>
      <c r="K62" s="15"/>
      <c r="L62" s="1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13"/>
      <c r="J63" s="13"/>
      <c r="K63" s="15"/>
      <c r="L63" s="1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13"/>
      <c r="J64" s="13"/>
      <c r="K64" s="15"/>
      <c r="L64" s="1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13"/>
      <c r="J65" s="13"/>
      <c r="K65" s="15"/>
      <c r="L65" s="1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13"/>
      <c r="J66" s="13"/>
      <c r="K66" s="15"/>
      <c r="L66" s="1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13"/>
      <c r="J67" s="13"/>
      <c r="K67" s="15"/>
      <c r="L67" s="1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13"/>
      <c r="J68" s="13"/>
      <c r="K68" s="15"/>
      <c r="L68" s="1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13"/>
      <c r="J69" s="13"/>
      <c r="K69" s="15"/>
      <c r="L69" s="1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13"/>
      <c r="J70" s="13"/>
      <c r="K70" s="15"/>
      <c r="L70" s="1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13"/>
      <c r="J71" s="13"/>
      <c r="K71" s="15"/>
      <c r="L71" s="1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13"/>
      <c r="J72" s="13"/>
      <c r="K72" s="15"/>
      <c r="L72" s="1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13"/>
      <c r="J73" s="13"/>
      <c r="K73" s="15"/>
      <c r="L73" s="1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13"/>
      <c r="J74" s="13"/>
      <c r="K74" s="15"/>
      <c r="L74" s="1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13"/>
      <c r="J75" s="13"/>
      <c r="K75" s="15"/>
      <c r="L75" s="1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13"/>
      <c r="J76" s="13"/>
      <c r="K76" s="15"/>
      <c r="L76" s="1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13"/>
      <c r="J77" s="13"/>
      <c r="K77" s="15"/>
      <c r="L77" s="1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13"/>
      <c r="J78" s="13"/>
      <c r="K78" s="15"/>
      <c r="L78" s="1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13"/>
      <c r="J79" s="13"/>
      <c r="K79" s="15"/>
      <c r="L79" s="1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13"/>
      <c r="J80" s="13"/>
      <c r="K80" s="15"/>
      <c r="L80" s="1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13"/>
      <c r="J81" s="13"/>
      <c r="K81" s="15"/>
      <c r="L81" s="1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13"/>
      <c r="J82" s="13"/>
      <c r="K82" s="15"/>
      <c r="L82" s="1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13"/>
      <c r="J83" s="13"/>
      <c r="K83" s="15"/>
      <c r="L83" s="1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13"/>
      <c r="J84" s="13"/>
      <c r="K84" s="15"/>
      <c r="L84" s="1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13"/>
      <c r="J85" s="13"/>
      <c r="K85" s="15"/>
      <c r="L85" s="1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13"/>
      <c r="J86" s="13"/>
      <c r="K86" s="15"/>
      <c r="L86" s="1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13"/>
      <c r="J87" s="13"/>
      <c r="K87" s="15"/>
      <c r="L87" s="1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13"/>
      <c r="J88" s="13"/>
      <c r="K88" s="15"/>
      <c r="L88" s="1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13"/>
      <c r="J89" s="13"/>
      <c r="K89" s="15"/>
      <c r="L89" s="1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13"/>
      <c r="J90" s="13"/>
      <c r="K90" s="15"/>
      <c r="L90" s="1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13"/>
      <c r="J91" s="13"/>
      <c r="K91" s="15"/>
      <c r="L91" s="1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13"/>
      <c r="J92" s="13"/>
      <c r="K92" s="15"/>
      <c r="L92" s="1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13"/>
      <c r="J93" s="13"/>
      <c r="K93" s="15"/>
      <c r="L93" s="1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13"/>
      <c r="J94" s="13"/>
      <c r="K94" s="15"/>
      <c r="L94" s="1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13"/>
      <c r="J95" s="13"/>
      <c r="K95" s="15"/>
      <c r="L95" s="1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13"/>
      <c r="J96" s="13"/>
      <c r="K96" s="15"/>
      <c r="L96" s="1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13"/>
      <c r="J97" s="13"/>
      <c r="K97" s="15"/>
      <c r="L97" s="1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13"/>
      <c r="J98" s="13"/>
      <c r="K98" s="15"/>
      <c r="L98" s="1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13"/>
      <c r="J99" s="13"/>
      <c r="K99" s="15"/>
      <c r="L99" s="1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13"/>
      <c r="J100" s="13"/>
      <c r="K100" s="15"/>
      <c r="L100" s="1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13"/>
      <c r="J101" s="13"/>
      <c r="K101" s="15"/>
      <c r="L101" s="1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13"/>
      <c r="J102" s="13"/>
      <c r="K102" s="15"/>
      <c r="L102" s="1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13"/>
      <c r="J103" s="13"/>
      <c r="K103" s="15"/>
      <c r="L103" s="1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13"/>
      <c r="J104" s="13"/>
      <c r="K104" s="15"/>
      <c r="L104" s="1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13"/>
      <c r="J105" s="13"/>
      <c r="K105" s="15"/>
      <c r="L105" s="1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13"/>
      <c r="J106" s="13"/>
      <c r="K106" s="15"/>
      <c r="L106" s="1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13"/>
      <c r="J107" s="13"/>
      <c r="K107" s="15"/>
      <c r="L107" s="1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13"/>
      <c r="J108" s="13"/>
      <c r="K108" s="15"/>
      <c r="L108" s="1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13"/>
      <c r="J109" s="13"/>
      <c r="K109" s="15"/>
      <c r="L109" s="1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13"/>
      <c r="J110" s="13"/>
      <c r="K110" s="15"/>
      <c r="L110" s="1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13"/>
      <c r="J111" s="13"/>
      <c r="K111" s="15"/>
      <c r="L111" s="1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13"/>
      <c r="J112" s="13"/>
      <c r="K112" s="15"/>
      <c r="L112" s="1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13"/>
      <c r="J113" s="13"/>
      <c r="K113" s="15"/>
      <c r="L113" s="1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13"/>
      <c r="J114" s="13"/>
      <c r="K114" s="15"/>
      <c r="L114" s="1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13"/>
      <c r="J115" s="13"/>
      <c r="K115" s="15"/>
      <c r="L115" s="1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13"/>
      <c r="J116" s="13"/>
      <c r="K116" s="15"/>
      <c r="L116" s="1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13"/>
      <c r="J117" s="13"/>
      <c r="K117" s="15"/>
      <c r="L117" s="1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13"/>
      <c r="J118" s="13"/>
      <c r="K118" s="15"/>
      <c r="L118" s="1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13"/>
      <c r="J119" s="13"/>
      <c r="K119" s="15"/>
      <c r="L119" s="1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13"/>
      <c r="J120" s="13"/>
      <c r="K120" s="15"/>
      <c r="L120" s="1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13"/>
      <c r="J121" s="13"/>
      <c r="K121" s="15"/>
      <c r="L121" s="1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13"/>
      <c r="J122" s="13"/>
      <c r="K122" s="15"/>
      <c r="L122" s="1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13"/>
      <c r="J123" s="13"/>
      <c r="K123" s="15"/>
      <c r="L123" s="1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13"/>
      <c r="J124" s="13"/>
      <c r="K124" s="15"/>
      <c r="L124" s="1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13"/>
      <c r="J125" s="13"/>
      <c r="K125" s="15"/>
      <c r="L125" s="1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13"/>
      <c r="J126" s="13"/>
      <c r="K126" s="15"/>
      <c r="L126" s="1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13"/>
      <c r="J127" s="13"/>
      <c r="K127" s="15"/>
      <c r="L127" s="1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13"/>
      <c r="J128" s="13"/>
      <c r="K128" s="15"/>
      <c r="L128" s="1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13"/>
      <c r="J129" s="13"/>
      <c r="K129" s="15"/>
      <c r="L129" s="1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13"/>
      <c r="J130" s="13"/>
      <c r="K130" s="15"/>
      <c r="L130" s="1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13"/>
      <c r="J131" s="13"/>
      <c r="K131" s="15"/>
      <c r="L131" s="1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13"/>
      <c r="J132" s="13"/>
      <c r="K132" s="15"/>
      <c r="L132" s="1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13"/>
      <c r="J133" s="13"/>
      <c r="K133" s="15"/>
      <c r="L133" s="1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13"/>
      <c r="J134" s="13"/>
      <c r="K134" s="15"/>
      <c r="L134" s="1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13"/>
      <c r="J135" s="13"/>
      <c r="K135" s="15"/>
      <c r="L135" s="1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13"/>
      <c r="J136" s="13"/>
      <c r="K136" s="15"/>
      <c r="L136" s="1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13"/>
      <c r="J137" s="13"/>
      <c r="K137" s="15"/>
      <c r="L137" s="1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13"/>
      <c r="J138" s="13"/>
      <c r="K138" s="15"/>
      <c r="L138" s="1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13"/>
      <c r="J139" s="13"/>
      <c r="K139" s="15"/>
      <c r="L139" s="1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13"/>
      <c r="J140" s="13"/>
      <c r="K140" s="15"/>
      <c r="L140" s="1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13"/>
      <c r="J141" s="13"/>
      <c r="K141" s="15"/>
      <c r="L141" s="1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13"/>
      <c r="J142" s="13"/>
      <c r="K142" s="15"/>
      <c r="L142" s="1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13"/>
      <c r="J143" s="13"/>
      <c r="K143" s="15"/>
      <c r="L143" s="1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13"/>
      <c r="J144" s="13"/>
      <c r="K144" s="15"/>
      <c r="L144" s="1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13"/>
      <c r="J145" s="13"/>
      <c r="K145" s="15"/>
      <c r="L145" s="1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13"/>
      <c r="J146" s="13"/>
      <c r="K146" s="15"/>
      <c r="L146" s="1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13"/>
      <c r="J147" s="13"/>
      <c r="K147" s="15"/>
      <c r="L147" s="1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13"/>
      <c r="J148" s="13"/>
      <c r="K148" s="15"/>
      <c r="L148" s="1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13"/>
      <c r="J149" s="13"/>
      <c r="K149" s="15"/>
      <c r="L149" s="1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13"/>
      <c r="J150" s="13"/>
      <c r="K150" s="15"/>
      <c r="L150" s="1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13"/>
      <c r="J151" s="13"/>
      <c r="K151" s="15"/>
      <c r="L151" s="1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13"/>
      <c r="J152" s="13"/>
      <c r="K152" s="15"/>
      <c r="L152" s="1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13"/>
      <c r="J153" s="13"/>
      <c r="K153" s="15"/>
      <c r="L153" s="1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13"/>
      <c r="J154" s="13"/>
      <c r="K154" s="15"/>
      <c r="L154" s="1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13"/>
      <c r="J155" s="13"/>
      <c r="K155" s="15"/>
      <c r="L155" s="1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13"/>
      <c r="J156" s="13"/>
      <c r="K156" s="15"/>
      <c r="L156" s="1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13"/>
      <c r="J157" s="13"/>
      <c r="K157" s="15"/>
      <c r="L157" s="1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13"/>
      <c r="J158" s="13"/>
      <c r="K158" s="15"/>
      <c r="L158" s="1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13"/>
      <c r="J159" s="13"/>
      <c r="K159" s="15"/>
      <c r="L159" s="1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13"/>
      <c r="J160" s="13"/>
      <c r="K160" s="15"/>
      <c r="L160" s="1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13"/>
      <c r="J161" s="13"/>
      <c r="K161" s="15"/>
      <c r="L161" s="1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13"/>
      <c r="J162" s="13"/>
      <c r="K162" s="15"/>
      <c r="L162" s="1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13"/>
      <c r="J163" s="13"/>
      <c r="K163" s="15"/>
      <c r="L163" s="1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13"/>
      <c r="J164" s="13"/>
      <c r="K164" s="15"/>
      <c r="L164" s="1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13"/>
      <c r="J165" s="13"/>
      <c r="K165" s="15"/>
      <c r="L165" s="1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13"/>
      <c r="J166" s="13"/>
      <c r="K166" s="15"/>
      <c r="L166" s="1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13"/>
      <c r="J167" s="13"/>
      <c r="K167" s="15"/>
      <c r="L167" s="1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13"/>
      <c r="J168" s="13"/>
      <c r="K168" s="15"/>
      <c r="L168" s="1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13"/>
      <c r="J169" s="13"/>
      <c r="K169" s="15"/>
      <c r="L169" s="1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13"/>
      <c r="J170" s="13"/>
      <c r="K170" s="15"/>
      <c r="L170" s="1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13"/>
      <c r="J171" s="13"/>
      <c r="K171" s="15"/>
      <c r="L171" s="1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13"/>
      <c r="J172" s="13"/>
      <c r="K172" s="15"/>
      <c r="L172" s="1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13"/>
      <c r="J173" s="13"/>
      <c r="K173" s="15"/>
      <c r="L173" s="1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13"/>
      <c r="J174" s="13"/>
      <c r="K174" s="15"/>
      <c r="L174" s="1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13"/>
      <c r="J175" s="13"/>
      <c r="K175" s="15"/>
      <c r="L175" s="1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13"/>
      <c r="J176" s="13"/>
      <c r="K176" s="15"/>
      <c r="L176" s="1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13"/>
      <c r="J177" s="13"/>
      <c r="K177" s="15"/>
      <c r="L177" s="1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13"/>
      <c r="J178" s="13"/>
      <c r="K178" s="15"/>
      <c r="L178" s="1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13"/>
      <c r="J179" s="13"/>
      <c r="K179" s="15"/>
      <c r="L179" s="1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13"/>
      <c r="J180" s="13"/>
      <c r="K180" s="15"/>
      <c r="L180" s="1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13"/>
      <c r="J181" s="13"/>
      <c r="K181" s="15"/>
      <c r="L181" s="1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13"/>
      <c r="J182" s="13"/>
      <c r="K182" s="15"/>
      <c r="L182" s="1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13"/>
      <c r="J183" s="13"/>
      <c r="K183" s="15"/>
      <c r="L183" s="1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13"/>
      <c r="J184" s="13"/>
      <c r="K184" s="15"/>
      <c r="L184" s="1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13"/>
      <c r="J185" s="13"/>
      <c r="K185" s="15"/>
      <c r="L185" s="1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13"/>
      <c r="J186" s="13"/>
      <c r="K186" s="15"/>
      <c r="L186" s="1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13"/>
      <c r="J187" s="13"/>
      <c r="K187" s="15"/>
      <c r="L187" s="1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13"/>
      <c r="J188" s="13"/>
      <c r="K188" s="15"/>
      <c r="L188" s="1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13"/>
      <c r="J189" s="13"/>
      <c r="K189" s="15"/>
      <c r="L189" s="1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13"/>
      <c r="J190" s="13"/>
      <c r="K190" s="15"/>
      <c r="L190" s="1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13"/>
      <c r="J191" s="13"/>
      <c r="K191" s="15"/>
      <c r="L191" s="1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13"/>
      <c r="J192" s="13"/>
      <c r="K192" s="15"/>
      <c r="L192" s="1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13"/>
      <c r="J193" s="13"/>
      <c r="K193" s="15"/>
      <c r="L193" s="1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13"/>
      <c r="J194" s="13"/>
      <c r="K194" s="15"/>
      <c r="L194" s="1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13"/>
      <c r="J195" s="13"/>
      <c r="K195" s="15"/>
      <c r="L195" s="1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13"/>
      <c r="J196" s="13"/>
      <c r="K196" s="15"/>
      <c r="L196" s="1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13"/>
      <c r="J197" s="13"/>
      <c r="K197" s="15"/>
      <c r="L197" s="1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13"/>
      <c r="J198" s="13"/>
      <c r="K198" s="15"/>
      <c r="L198" s="1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13"/>
      <c r="J199" s="13"/>
      <c r="K199" s="15"/>
      <c r="L199" s="1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13"/>
      <c r="J200" s="13"/>
      <c r="K200" s="15"/>
      <c r="L200" s="1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13"/>
      <c r="J201" s="13"/>
      <c r="K201" s="15"/>
      <c r="L201" s="1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13"/>
      <c r="J202" s="13"/>
      <c r="K202" s="15"/>
      <c r="L202" s="1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13"/>
      <c r="J203" s="13"/>
      <c r="K203" s="15"/>
      <c r="L203" s="1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13"/>
      <c r="J204" s="13"/>
      <c r="K204" s="15"/>
      <c r="L204" s="1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13"/>
      <c r="J205" s="13"/>
      <c r="K205" s="15"/>
      <c r="L205" s="1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13"/>
      <c r="J206" s="13"/>
      <c r="K206" s="15"/>
      <c r="L206" s="1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13"/>
      <c r="J207" s="13"/>
      <c r="K207" s="15"/>
      <c r="L207" s="1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13"/>
      <c r="J208" s="13"/>
      <c r="K208" s="15"/>
      <c r="L208" s="1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13"/>
      <c r="J209" s="13"/>
      <c r="K209" s="15"/>
      <c r="L209" s="1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13"/>
      <c r="J210" s="13"/>
      <c r="K210" s="15"/>
      <c r="L210" s="1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13"/>
      <c r="J211" s="13"/>
      <c r="K211" s="15"/>
      <c r="L211" s="1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13"/>
      <c r="J212" s="13"/>
      <c r="K212" s="15"/>
      <c r="L212" s="1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13"/>
      <c r="J213" s="13"/>
      <c r="K213" s="15"/>
      <c r="L213" s="1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13"/>
      <c r="J214" s="13"/>
      <c r="K214" s="15"/>
      <c r="L214" s="1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13"/>
      <c r="J215" s="13"/>
      <c r="K215" s="15"/>
      <c r="L215" s="1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13"/>
      <c r="J216" s="13"/>
      <c r="K216" s="15"/>
      <c r="L216" s="1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13"/>
      <c r="J217" s="13"/>
      <c r="K217" s="15"/>
      <c r="L217" s="1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13"/>
      <c r="J218" s="13"/>
      <c r="K218" s="15"/>
      <c r="L218" s="1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13"/>
      <c r="J219" s="13"/>
      <c r="K219" s="15"/>
      <c r="L219" s="1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13"/>
      <c r="J220" s="13"/>
      <c r="K220" s="15"/>
      <c r="L220" s="1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13"/>
      <c r="J221" s="13"/>
      <c r="K221" s="15"/>
      <c r="L221" s="1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13"/>
      <c r="J222" s="13"/>
      <c r="K222" s="15"/>
      <c r="L222" s="1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13"/>
      <c r="J223" s="13"/>
      <c r="K223" s="15"/>
      <c r="L223" s="1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13"/>
      <c r="J224" s="13"/>
      <c r="K224" s="15"/>
      <c r="L224" s="1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13"/>
      <c r="J225" s="13"/>
      <c r="K225" s="15"/>
      <c r="L225" s="1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13"/>
      <c r="J226" s="13"/>
      <c r="K226" s="15"/>
      <c r="L226" s="1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13"/>
      <c r="J227" s="13"/>
      <c r="K227" s="15"/>
      <c r="L227" s="1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13"/>
      <c r="J228" s="13"/>
      <c r="K228" s="15"/>
      <c r="L228" s="1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13"/>
      <c r="J229" s="13"/>
      <c r="K229" s="15"/>
      <c r="L229" s="1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13"/>
      <c r="J230" s="13"/>
      <c r="K230" s="15"/>
      <c r="L230" s="1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13"/>
      <c r="J231" s="13"/>
      <c r="K231" s="15"/>
      <c r="L231" s="1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13"/>
      <c r="J232" s="13"/>
      <c r="K232" s="15"/>
      <c r="L232" s="1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23">
    <cfRule type="colorScale" priority="3">
      <colorScale>
        <cfvo type="min"/>
        <cfvo type="max"/>
        <color rgb="FF57BB8A"/>
        <color rgb="FFFFFFFF"/>
      </colorScale>
    </cfRule>
  </conditionalFormatting>
  <conditionalFormatting sqref="L7">
    <cfRule type="colorScale" priority="2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K6:K23" xr:uid="{00000000-0002-0000-0000-000000000000}">
      <formula1>$K$29:$K$31</formula1>
    </dataValidation>
    <dataValidation type="list" allowBlank="1" showErrorMessage="1" sqref="L6:L23" xr:uid="{00000000-0002-0000-0000-000001000000}">
      <formula1>$L$29:$L$32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999"/>
  <sheetViews>
    <sheetView showGridLines="0" workbookViewId="0">
      <selection activeCell="C10" sqref="C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3" width="10.59765625" customWidth="1"/>
    <col min="14" max="14" width="3.69921875" customWidth="1"/>
    <col min="15" max="15" width="31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6"/>
      <c r="D4" s="16"/>
      <c r="E4" s="16"/>
      <c r="F4" s="17"/>
    </row>
    <row r="5" spans="1:26" ht="14.4" hidden="1" x14ac:dyDescent="0.3">
      <c r="C5" s="16"/>
      <c r="D5" s="16"/>
      <c r="E5" s="16"/>
      <c r="F5" s="17"/>
    </row>
    <row r="6" spans="1:26" ht="39.75" customHeight="1" x14ac:dyDescent="0.25">
      <c r="B6" s="57" t="s">
        <v>172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</row>
    <row r="7" spans="1:26" ht="9.75" customHeight="1" x14ac:dyDescent="0.2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9.75" customHeight="1" x14ac:dyDescent="0.3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  <c r="Q8" s="18"/>
    </row>
    <row r="9" spans="1:26" ht="30" customHeight="1" x14ac:dyDescent="0.25">
      <c r="B9" s="25"/>
      <c r="C9" s="26" t="s">
        <v>1</v>
      </c>
      <c r="D9" s="27"/>
      <c r="E9" s="58" t="s">
        <v>173</v>
      </c>
      <c r="F9" s="42"/>
      <c r="G9" s="27"/>
      <c r="H9" s="58" t="s">
        <v>11</v>
      </c>
      <c r="I9" s="42"/>
      <c r="J9" s="28"/>
      <c r="K9" s="28"/>
      <c r="L9" s="28"/>
      <c r="M9" s="28"/>
      <c r="N9" s="28"/>
      <c r="O9" s="28"/>
      <c r="P9" s="29"/>
      <c r="Q9" s="18"/>
    </row>
    <row r="10" spans="1:26" ht="30" customHeight="1" x14ac:dyDescent="0.25">
      <c r="B10" s="25"/>
      <c r="C10" s="30" t="s">
        <v>121</v>
      </c>
      <c r="D10" s="31"/>
      <c r="E10" s="59" t="str">
        <f>VLOOKUP(C10,'Formato descripción HU'!$B$5:$O$23,5,0)</f>
        <v>Administrador</v>
      </c>
      <c r="F10" s="42"/>
      <c r="G10" s="32"/>
      <c r="H10" s="60" t="str">
        <f>VLOOKUP(C10,'Formato descripción HU'!$B$5:$O$23,11,0)</f>
        <v>Por hacer</v>
      </c>
      <c r="I10" s="42"/>
      <c r="J10" s="32"/>
      <c r="K10" s="28"/>
      <c r="L10" s="28"/>
      <c r="M10" s="28"/>
      <c r="N10" s="28"/>
      <c r="O10" s="28"/>
      <c r="P10" s="29"/>
      <c r="Q10" s="18"/>
    </row>
    <row r="11" spans="1:26" ht="30" customHeight="1" x14ac:dyDescent="0.25">
      <c r="A11" s="18"/>
      <c r="B11" s="25"/>
      <c r="C11" s="26" t="s">
        <v>174</v>
      </c>
      <c r="D11" s="31"/>
      <c r="E11" s="58" t="s">
        <v>10</v>
      </c>
      <c r="F11" s="42"/>
      <c r="G11" s="32"/>
      <c r="H11" s="58" t="s">
        <v>175</v>
      </c>
      <c r="I11" s="42"/>
      <c r="J11" s="32"/>
      <c r="K11" s="33"/>
      <c r="L11" s="33"/>
      <c r="M11" s="28"/>
      <c r="N11" s="33"/>
      <c r="O11" s="33"/>
      <c r="P11" s="29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0" customHeight="1" x14ac:dyDescent="0.25">
      <c r="A12" s="18"/>
      <c r="B12" s="25"/>
      <c r="C12" s="30">
        <f>VLOOKUP(C10,'Formato descripción HU'!$B$5:$O$23,8,0)</f>
        <v>5</v>
      </c>
      <c r="D12" s="31"/>
      <c r="E12" s="60" t="str">
        <f>VLOOKUP(C10,'Formato descripción HU'!$B$5:$O$23,10,0)</f>
        <v>Alta</v>
      </c>
      <c r="F12" s="42"/>
      <c r="G12" s="32"/>
      <c r="H12" s="60" t="str">
        <f>VLOOKUP(C10,'Formato descripción HU'!$B$5:$O$23,7,0)</f>
        <v>Yuliana Valencia</v>
      </c>
      <c r="I12" s="42"/>
      <c r="J12" s="32"/>
      <c r="K12" s="33"/>
      <c r="L12" s="33"/>
      <c r="M12" s="28"/>
      <c r="N12" s="33"/>
      <c r="O12" s="33"/>
      <c r="P12" s="29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9.75" customHeight="1" x14ac:dyDescent="0.25">
      <c r="A13" s="18"/>
      <c r="B13" s="25"/>
      <c r="C13" s="28"/>
      <c r="D13" s="31"/>
      <c r="E13" s="28"/>
      <c r="F13" s="28"/>
      <c r="G13" s="32"/>
      <c r="H13" s="32"/>
      <c r="I13" s="28"/>
      <c r="J13" s="28"/>
      <c r="K13" s="28"/>
      <c r="L13" s="28"/>
      <c r="M13" s="28"/>
      <c r="N13" s="28"/>
      <c r="O13" s="28"/>
      <c r="P13" s="29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5">
      <c r="A14" s="18"/>
      <c r="B14" s="25"/>
      <c r="C14" s="43" t="s">
        <v>176</v>
      </c>
      <c r="D14" s="61" t="str">
        <f>VLOOKUP(C10,'Formato descripción HU'!$B$5:$O$23,3,0)</f>
        <v>Consultar los técnicos registrados.</v>
      </c>
      <c r="E14" s="47"/>
      <c r="F14" s="34"/>
      <c r="G14" s="43" t="s">
        <v>177</v>
      </c>
      <c r="H14" s="61" t="str">
        <f>VLOOKUP(C10,'Formato descripción HU'!$B$5:$O$23,4,0)</f>
        <v>Encontrar técnicos mediante búsquedas, filtros y ordenaciones.</v>
      </c>
      <c r="I14" s="54"/>
      <c r="J14" s="47"/>
      <c r="K14" s="34"/>
      <c r="L14" s="43" t="s">
        <v>178</v>
      </c>
      <c r="M14" s="62" t="str">
        <f>VLOOKUP(C10,'Formato descripción HU'!$B$5:$O$23,6,0)</f>
        <v>Diseñar tabla interactiva para el módulo de técnicos.</v>
      </c>
      <c r="N14" s="54"/>
      <c r="O14" s="47"/>
      <c r="P14" s="29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 x14ac:dyDescent="0.25">
      <c r="A15" s="18"/>
      <c r="B15" s="25"/>
      <c r="C15" s="44"/>
      <c r="D15" s="51"/>
      <c r="E15" s="52"/>
      <c r="F15" s="34"/>
      <c r="G15" s="44"/>
      <c r="H15" s="51"/>
      <c r="I15" s="55"/>
      <c r="J15" s="52"/>
      <c r="K15" s="34"/>
      <c r="L15" s="44"/>
      <c r="M15" s="51"/>
      <c r="N15" s="55"/>
      <c r="O15" s="52"/>
      <c r="P15" s="29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5">
      <c r="A16" s="18"/>
      <c r="B16" s="25"/>
      <c r="C16" s="45"/>
      <c r="D16" s="48"/>
      <c r="E16" s="49"/>
      <c r="F16" s="34"/>
      <c r="G16" s="45"/>
      <c r="H16" s="48"/>
      <c r="I16" s="56"/>
      <c r="J16" s="49"/>
      <c r="K16" s="34"/>
      <c r="L16" s="45"/>
      <c r="M16" s="48"/>
      <c r="N16" s="56"/>
      <c r="O16" s="49"/>
      <c r="P16" s="29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9.75" customHeight="1" x14ac:dyDescent="0.25">
      <c r="A17" s="18"/>
      <c r="B17" s="25"/>
      <c r="C17" s="28"/>
      <c r="D17" s="28"/>
      <c r="E17" s="28"/>
      <c r="F17" s="28"/>
      <c r="G17" s="32"/>
      <c r="H17" s="32"/>
      <c r="I17" s="32"/>
      <c r="J17" s="28"/>
      <c r="K17" s="28"/>
      <c r="L17" s="28"/>
      <c r="M17" s="28"/>
      <c r="N17" s="28"/>
      <c r="O17" s="28"/>
      <c r="P17" s="29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5">
      <c r="B18" s="25"/>
      <c r="C18" s="46" t="s">
        <v>179</v>
      </c>
      <c r="D18" s="47"/>
      <c r="E18" s="63" t="str">
        <f>VLOOKUP(C10,'Formato descripción HU'!$B$5:$O$23,14,0)</f>
        <v>Consultar Técnicos</v>
      </c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29"/>
      <c r="Q18" s="18"/>
    </row>
    <row r="19" spans="1:26" ht="19.5" customHeight="1" x14ac:dyDescent="0.25">
      <c r="B19" s="25"/>
      <c r="C19" s="48"/>
      <c r="D19" s="49"/>
      <c r="E19" s="66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9"/>
      <c r="Q19" s="18"/>
    </row>
    <row r="20" spans="1:26" ht="9.75" customHeight="1" x14ac:dyDescent="0.25">
      <c r="B20" s="25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18"/>
    </row>
    <row r="21" spans="1:26" ht="19.5" customHeight="1" x14ac:dyDescent="0.25">
      <c r="A21" s="18"/>
      <c r="B21" s="25"/>
      <c r="C21" s="50" t="s">
        <v>180</v>
      </c>
      <c r="D21" s="47"/>
      <c r="E21" s="53" t="str">
        <f>VLOOKUP(C10,'Formato descripción HU'!$B$5:$O$23,12,0)</f>
        <v>Buscar un técnico por nombre y verificar que la tabla se filtre.</v>
      </c>
      <c r="F21" s="54"/>
      <c r="G21" s="54"/>
      <c r="H21" s="47"/>
      <c r="I21" s="28"/>
      <c r="J21" s="50" t="s">
        <v>13</v>
      </c>
      <c r="K21" s="47"/>
      <c r="L21" s="61">
        <f>VLOOKUP(C10,'Formato descripción HU'!$B$5:$O$23,13,0)</f>
        <v>0</v>
      </c>
      <c r="M21" s="54"/>
      <c r="N21" s="54"/>
      <c r="O21" s="47"/>
      <c r="P21" s="29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9.5" customHeight="1" x14ac:dyDescent="0.25">
      <c r="A22" s="18"/>
      <c r="B22" s="25"/>
      <c r="C22" s="51"/>
      <c r="D22" s="52"/>
      <c r="E22" s="51"/>
      <c r="F22" s="55"/>
      <c r="G22" s="55"/>
      <c r="H22" s="52"/>
      <c r="I22" s="28"/>
      <c r="J22" s="51"/>
      <c r="K22" s="52"/>
      <c r="L22" s="51"/>
      <c r="M22" s="55"/>
      <c r="N22" s="55"/>
      <c r="O22" s="52"/>
      <c r="P22" s="29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 x14ac:dyDescent="0.25">
      <c r="A23" s="18"/>
      <c r="B23" s="25"/>
      <c r="C23" s="48"/>
      <c r="D23" s="49"/>
      <c r="E23" s="48"/>
      <c r="F23" s="56"/>
      <c r="G23" s="56"/>
      <c r="H23" s="49"/>
      <c r="I23" s="28"/>
      <c r="J23" s="48"/>
      <c r="K23" s="49"/>
      <c r="L23" s="48"/>
      <c r="M23" s="56"/>
      <c r="N23" s="56"/>
      <c r="O23" s="49"/>
      <c r="P23" s="29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8.5" customHeight="1" x14ac:dyDescent="0.25">
      <c r="A24" s="18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9.5" customHeight="1" x14ac:dyDescent="0.25"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9.5" customHeight="1" x14ac:dyDescent="0.25"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 x14ac:dyDescent="0.25"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 x14ac:dyDescent="0.25"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 x14ac:dyDescent="0.25">
      <c r="Q30" s="3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 x14ac:dyDescent="0.25">
      <c r="Q31" s="39"/>
    </row>
    <row r="32" spans="1:26" ht="19.5" customHeight="1" x14ac:dyDescent="0.25">
      <c r="Q32" s="39"/>
    </row>
    <row r="33" spans="1:17" ht="19.5" customHeight="1" x14ac:dyDescent="0.25">
      <c r="A33" s="18"/>
      <c r="Q33" s="39"/>
    </row>
    <row r="34" spans="1:17" ht="19.5" customHeight="1" x14ac:dyDescent="0.25">
      <c r="Q34" s="39"/>
    </row>
    <row r="35" spans="1:17" ht="19.5" customHeight="1" x14ac:dyDescent="0.25">
      <c r="Q35" s="39"/>
    </row>
    <row r="36" spans="1:17" ht="19.5" customHeight="1" x14ac:dyDescent="0.25">
      <c r="Q36" s="39"/>
    </row>
    <row r="37" spans="1:17" ht="19.5" customHeight="1" x14ac:dyDescent="0.25">
      <c r="A37" s="18"/>
      <c r="Q37" s="39"/>
    </row>
    <row r="38" spans="1:17" ht="19.5" customHeight="1" x14ac:dyDescent="0.25">
      <c r="A38" s="18"/>
      <c r="Q38" s="39"/>
    </row>
    <row r="39" spans="1:17" ht="19.5" customHeight="1" x14ac:dyDescent="0.25">
      <c r="A39" s="18"/>
      <c r="Q39" s="39"/>
    </row>
    <row r="40" spans="1:17" ht="19.5" customHeight="1" x14ac:dyDescent="0.25">
      <c r="A40" s="18"/>
      <c r="Q40" s="39"/>
    </row>
    <row r="41" spans="1:17" ht="19.5" customHeight="1" x14ac:dyDescent="0.25">
      <c r="A41" s="18"/>
      <c r="Q41" s="39"/>
    </row>
    <row r="42" spans="1:17" ht="19.5" customHeight="1" x14ac:dyDescent="0.25">
      <c r="A42" s="18"/>
      <c r="Q42" s="39"/>
    </row>
    <row r="43" spans="1:17" ht="19.5" customHeight="1" x14ac:dyDescent="0.25">
      <c r="A43" s="18"/>
      <c r="Q43" s="39"/>
    </row>
    <row r="44" spans="1:17" ht="19.5" customHeight="1" x14ac:dyDescent="0.25">
      <c r="A44" s="18"/>
      <c r="Q44" s="39"/>
    </row>
    <row r="45" spans="1:17" ht="19.5" customHeight="1" x14ac:dyDescent="0.25">
      <c r="Q45" s="39"/>
    </row>
    <row r="46" spans="1:17" ht="19.5" customHeight="1" x14ac:dyDescent="0.25">
      <c r="Q46" s="39"/>
    </row>
    <row r="47" spans="1:17" ht="19.5" customHeight="1" x14ac:dyDescent="0.25">
      <c r="Q47" s="39"/>
    </row>
    <row r="48" spans="1:17" ht="19.5" customHeight="1" x14ac:dyDescent="0.25">
      <c r="A48" s="18"/>
      <c r="Q48" s="39"/>
    </row>
    <row r="49" spans="1:17" ht="19.5" customHeight="1" x14ac:dyDescent="0.25">
      <c r="A49" s="18"/>
      <c r="Q49" s="39"/>
    </row>
    <row r="50" spans="1:17" ht="33" customHeight="1" x14ac:dyDescent="0.25">
      <c r="A50" s="18"/>
    </row>
    <row r="51" spans="1:17" ht="19.5" customHeight="1" x14ac:dyDescent="0.25">
      <c r="A51" s="18"/>
    </row>
    <row r="52" spans="1:17" ht="15.75" customHeight="1" x14ac:dyDescent="0.25">
      <c r="A52" s="18"/>
    </row>
    <row r="53" spans="1:17" ht="15.75" customHeight="1" x14ac:dyDescent="0.25">
      <c r="A53" s="18"/>
    </row>
    <row r="54" spans="1:17" ht="15.75" customHeight="1" x14ac:dyDescent="0.25"/>
    <row r="55" spans="1:17" ht="15.75" customHeight="1" x14ac:dyDescent="0.25"/>
    <row r="56" spans="1:17" ht="24" customHeight="1" x14ac:dyDescent="0.25"/>
    <row r="57" spans="1:17" ht="15.75" customHeight="1" x14ac:dyDescent="0.25">
      <c r="A57" s="18"/>
    </row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>
      <c r="A61" s="18"/>
    </row>
    <row r="62" spans="1:17" ht="15.75" customHeight="1" x14ac:dyDescent="0.25">
      <c r="A62" s="18"/>
    </row>
    <row r="63" spans="1:17" ht="15.75" customHeight="1" x14ac:dyDescent="0.25">
      <c r="A63" s="18"/>
    </row>
    <row r="64" spans="1:17" ht="15.75" customHeight="1" x14ac:dyDescent="0.25">
      <c r="A64" s="18"/>
    </row>
    <row r="65" spans="1:1" ht="15.75" customHeight="1" x14ac:dyDescent="0.25">
      <c r="A65" s="18"/>
    </row>
    <row r="66" spans="1:1" ht="9.75" customHeight="1" x14ac:dyDescent="0.25">
      <c r="A66" s="18"/>
    </row>
    <row r="67" spans="1:1" ht="27" customHeight="1" x14ac:dyDescent="0.25">
      <c r="A67" s="18"/>
    </row>
    <row r="68" spans="1:1" ht="15.75" customHeight="1" x14ac:dyDescent="0.25">
      <c r="A68" s="18"/>
    </row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>
      <c r="A72" s="18"/>
    </row>
    <row r="73" spans="1:1" ht="15.75" customHeight="1" x14ac:dyDescent="0.25">
      <c r="A73" s="18"/>
    </row>
    <row r="74" spans="1:1" ht="39" customHeight="1" x14ac:dyDescent="0.25">
      <c r="A74" s="18"/>
    </row>
    <row r="75" spans="1:1" ht="15.75" customHeight="1" x14ac:dyDescent="0.25">
      <c r="A75" s="18"/>
    </row>
    <row r="76" spans="1:1" ht="15.75" customHeight="1" x14ac:dyDescent="0.25">
      <c r="A76" s="18"/>
    </row>
    <row r="77" spans="1:1" ht="15.75" customHeight="1" x14ac:dyDescent="0.25">
      <c r="A77" s="18"/>
    </row>
    <row r="78" spans="1:1" ht="15.75" customHeight="1" x14ac:dyDescent="0.25"/>
    <row r="79" spans="1:1" ht="15.75" customHeight="1" x14ac:dyDescent="0.25"/>
    <row r="80" spans="1:1" ht="30" customHeight="1" x14ac:dyDescent="0.25"/>
    <row r="81" spans="1:1" ht="15.75" customHeight="1" x14ac:dyDescent="0.25">
      <c r="A81" s="18"/>
    </row>
    <row r="82" spans="1:1" ht="15.75" customHeight="1" x14ac:dyDescent="0.25"/>
    <row r="83" spans="1:1" ht="15.75" customHeight="1" x14ac:dyDescent="0.25"/>
    <row r="84" spans="1:1" ht="15.75" customHeight="1" x14ac:dyDescent="0.25"/>
    <row r="85" spans="1:1" ht="15.75" customHeight="1" x14ac:dyDescent="0.25">
      <c r="A85" s="18"/>
    </row>
    <row r="86" spans="1:1" ht="15.75" customHeight="1" x14ac:dyDescent="0.25">
      <c r="A86" s="18"/>
    </row>
    <row r="87" spans="1:1" ht="15.75" customHeight="1" x14ac:dyDescent="0.25">
      <c r="A87" s="18"/>
    </row>
    <row r="88" spans="1:1" ht="15.75" customHeight="1" x14ac:dyDescent="0.25">
      <c r="A88" s="18"/>
    </row>
    <row r="89" spans="1:1" ht="15.75" customHeight="1" x14ac:dyDescent="0.25">
      <c r="A89" s="18"/>
    </row>
    <row r="90" spans="1:1" ht="15.75" customHeight="1" x14ac:dyDescent="0.25">
      <c r="A90" s="18"/>
    </row>
    <row r="91" spans="1:1" ht="15.75" customHeight="1" x14ac:dyDescent="0.25">
      <c r="A91" s="18"/>
    </row>
    <row r="92" spans="1:1" ht="15.75" customHeight="1" x14ac:dyDescent="0.25">
      <c r="A92" s="18"/>
    </row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>
      <c r="A96" s="18"/>
    </row>
    <row r="97" spans="1:1" ht="15.75" customHeight="1" x14ac:dyDescent="0.25">
      <c r="A97" s="18"/>
    </row>
    <row r="98" spans="1:1" ht="39.75" customHeight="1" x14ac:dyDescent="0.25">
      <c r="A98" s="18"/>
    </row>
    <row r="99" spans="1:1" ht="15.75" customHeight="1" x14ac:dyDescent="0.25">
      <c r="A99" s="18"/>
    </row>
    <row r="100" spans="1:1" ht="15.75" customHeight="1" x14ac:dyDescent="0.25">
      <c r="A100" s="18"/>
    </row>
    <row r="101" spans="1:1" ht="15.75" customHeight="1" x14ac:dyDescent="0.25">
      <c r="A101" s="18"/>
    </row>
    <row r="102" spans="1:1" ht="15.75" customHeight="1" x14ac:dyDescent="0.25"/>
    <row r="103" spans="1:1" ht="21.75" customHeight="1" x14ac:dyDescent="0.25"/>
    <row r="104" spans="1:1" ht="15.75" customHeight="1" x14ac:dyDescent="0.25">
      <c r="A104" s="18"/>
    </row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>
      <c r="A108" s="18"/>
    </row>
    <row r="109" spans="1:1" ht="15.75" customHeight="1" x14ac:dyDescent="0.25">
      <c r="A109" s="18"/>
    </row>
    <row r="110" spans="1:1" ht="15.75" customHeight="1" x14ac:dyDescent="0.25">
      <c r="A110" s="18"/>
    </row>
    <row r="111" spans="1:1" ht="15.75" customHeight="1" x14ac:dyDescent="0.25">
      <c r="A111" s="18"/>
    </row>
    <row r="112" spans="1:1" ht="15.75" customHeight="1" x14ac:dyDescent="0.25">
      <c r="A112" s="18"/>
    </row>
    <row r="113" spans="1:1" ht="15.75" customHeight="1" x14ac:dyDescent="0.25">
      <c r="A113" s="18"/>
    </row>
    <row r="114" spans="1:1" ht="15.75" customHeight="1" x14ac:dyDescent="0.25">
      <c r="A114" s="18"/>
    </row>
    <row r="115" spans="1:1" ht="15.75" customHeight="1" x14ac:dyDescent="0.25">
      <c r="A115" s="18"/>
    </row>
    <row r="116" spans="1:1" ht="15.75" customHeight="1" x14ac:dyDescent="0.25"/>
    <row r="117" spans="1:1" ht="15.75" customHeight="1" x14ac:dyDescent="0.25"/>
    <row r="118" spans="1:1" ht="15.75" customHeight="1" x14ac:dyDescent="0.25"/>
    <row r="119" spans="1:1" ht="15.75" customHeight="1" x14ac:dyDescent="0.25">
      <c r="A119" s="18"/>
    </row>
    <row r="120" spans="1:1" ht="15.75" customHeight="1" x14ac:dyDescent="0.25">
      <c r="A120" s="18"/>
    </row>
    <row r="121" spans="1:1" ht="15.75" customHeight="1" x14ac:dyDescent="0.25">
      <c r="A121" s="18"/>
    </row>
    <row r="122" spans="1:1" ht="15.75" customHeight="1" x14ac:dyDescent="0.25">
      <c r="A122" s="18"/>
    </row>
    <row r="123" spans="1:1" ht="15.75" customHeight="1" x14ac:dyDescent="0.25"/>
    <row r="124" spans="1:1" ht="15.75" customHeight="1" x14ac:dyDescent="0.25"/>
    <row r="125" spans="1:1" ht="15.75" customHeight="1" x14ac:dyDescent="0.25">
      <c r="A125" s="18"/>
    </row>
    <row r="126" spans="1:1" ht="22.5" customHeight="1" x14ac:dyDescent="0.25">
      <c r="A126" s="18"/>
    </row>
    <row r="127" spans="1:1" ht="15.75" customHeight="1" x14ac:dyDescent="0.25">
      <c r="A127" s="18"/>
    </row>
    <row r="128" spans="1:1" ht="15.75" customHeight="1" x14ac:dyDescent="0.25">
      <c r="A128" s="18"/>
    </row>
    <row r="129" spans="1:1" ht="15.75" customHeight="1" x14ac:dyDescent="0.25">
      <c r="A129" s="18"/>
    </row>
    <row r="130" spans="1:1" ht="15.75" customHeight="1" x14ac:dyDescent="0.25">
      <c r="A130" s="18"/>
    </row>
    <row r="131" spans="1:1" ht="15.75" customHeight="1" x14ac:dyDescent="0.25">
      <c r="A131" s="18"/>
    </row>
    <row r="132" spans="1:1" ht="15.75" customHeight="1" x14ac:dyDescent="0.25">
      <c r="A132" s="18"/>
    </row>
    <row r="133" spans="1:1" ht="15.75" customHeight="1" x14ac:dyDescent="0.25">
      <c r="A133" s="18"/>
    </row>
    <row r="134" spans="1:1" ht="15.75" customHeight="1" x14ac:dyDescent="0.25">
      <c r="A134" s="18"/>
    </row>
    <row r="135" spans="1:1" ht="15.75" customHeight="1" x14ac:dyDescent="0.25">
      <c r="A135" s="18"/>
    </row>
    <row r="136" spans="1:1" ht="15.75" customHeight="1" x14ac:dyDescent="0.25">
      <c r="A136" s="18"/>
    </row>
    <row r="137" spans="1:1" ht="15.75" customHeight="1" x14ac:dyDescent="0.25">
      <c r="A137" s="18"/>
    </row>
    <row r="138" spans="1:1" ht="15.75" customHeight="1" x14ac:dyDescent="0.25">
      <c r="A138" s="18"/>
    </row>
    <row r="139" spans="1:1" ht="15.75" customHeight="1" x14ac:dyDescent="0.25">
      <c r="A139" s="18"/>
    </row>
    <row r="140" spans="1:1" ht="15.75" customHeight="1" x14ac:dyDescent="0.25">
      <c r="A140" s="18"/>
    </row>
    <row r="141" spans="1:1" ht="15.75" customHeight="1" x14ac:dyDescent="0.25">
      <c r="A141" s="18"/>
    </row>
    <row r="142" spans="1:1" ht="15.75" customHeight="1" x14ac:dyDescent="0.25">
      <c r="A142" s="18"/>
    </row>
    <row r="143" spans="1:1" ht="15.75" customHeight="1" x14ac:dyDescent="0.25">
      <c r="A143" s="18"/>
    </row>
    <row r="144" spans="1:1" ht="15.75" customHeight="1" x14ac:dyDescent="0.25">
      <c r="A144" s="18"/>
    </row>
    <row r="145" spans="1:1" ht="15.75" customHeight="1" x14ac:dyDescent="0.25">
      <c r="A145" s="18"/>
    </row>
    <row r="146" spans="1:1" ht="15.75" customHeight="1" x14ac:dyDescent="0.25"/>
    <row r="147" spans="1:1" ht="15.75" customHeight="1" x14ac:dyDescent="0.25"/>
    <row r="148" spans="1:1" ht="15.75" customHeight="1" x14ac:dyDescent="0.25">
      <c r="A148" s="18"/>
    </row>
    <row r="149" spans="1:1" ht="29.25" customHeight="1" x14ac:dyDescent="0.25">
      <c r="A149" s="18"/>
    </row>
    <row r="150" spans="1:1" ht="15.75" customHeight="1" x14ac:dyDescent="0.25">
      <c r="A150" s="18"/>
    </row>
    <row r="151" spans="1:1" ht="15.75" customHeight="1" x14ac:dyDescent="0.25">
      <c r="A151" s="18"/>
    </row>
    <row r="152" spans="1:1" ht="15.75" customHeight="1" x14ac:dyDescent="0.25">
      <c r="A152" s="18"/>
    </row>
    <row r="153" spans="1:1" ht="15.75" customHeight="1" x14ac:dyDescent="0.25">
      <c r="A153" s="18"/>
    </row>
    <row r="154" spans="1:1" ht="15.75" customHeight="1" x14ac:dyDescent="0.25">
      <c r="A154" s="18"/>
    </row>
    <row r="155" spans="1:1" ht="15.75" customHeight="1" x14ac:dyDescent="0.25">
      <c r="A155" s="18"/>
    </row>
    <row r="156" spans="1:1" ht="15.75" customHeight="1" x14ac:dyDescent="0.25">
      <c r="A156" s="18"/>
    </row>
    <row r="157" spans="1:1" ht="15.75" customHeight="1" x14ac:dyDescent="0.25">
      <c r="A157" s="18"/>
    </row>
    <row r="158" spans="1:1" ht="15.75" customHeight="1" x14ac:dyDescent="0.25">
      <c r="A158" s="18"/>
    </row>
    <row r="159" spans="1:1" ht="15.75" customHeight="1" x14ac:dyDescent="0.25">
      <c r="A159" s="18"/>
    </row>
    <row r="160" spans="1:1" ht="15.75" customHeight="1" x14ac:dyDescent="0.25">
      <c r="A160" s="18"/>
    </row>
    <row r="161" spans="1:1" ht="15.75" customHeight="1" x14ac:dyDescent="0.25">
      <c r="A161" s="18"/>
    </row>
    <row r="162" spans="1:1" ht="15.75" customHeight="1" x14ac:dyDescent="0.25">
      <c r="A162" s="18"/>
    </row>
    <row r="163" spans="1:1" ht="15.75" customHeight="1" x14ac:dyDescent="0.25">
      <c r="A163" s="18"/>
    </row>
    <row r="164" spans="1:1" ht="15.75" customHeight="1" x14ac:dyDescent="0.25">
      <c r="A164" s="18"/>
    </row>
    <row r="165" spans="1:1" ht="15.75" customHeight="1" x14ac:dyDescent="0.25">
      <c r="A165" s="18"/>
    </row>
    <row r="166" spans="1:1" ht="15.75" customHeight="1" x14ac:dyDescent="0.25">
      <c r="A166" s="18"/>
    </row>
    <row r="167" spans="1:1" ht="15.75" customHeight="1" x14ac:dyDescent="0.25">
      <c r="A167" s="18"/>
    </row>
    <row r="168" spans="1:1" ht="15.75" customHeight="1" x14ac:dyDescent="0.25">
      <c r="A168" s="18"/>
    </row>
    <row r="169" spans="1:1" ht="15.75" customHeight="1" x14ac:dyDescent="0.25"/>
    <row r="170" spans="1:1" ht="15.75" customHeight="1" x14ac:dyDescent="0.25"/>
    <row r="171" spans="1:1" ht="15.75" customHeight="1" x14ac:dyDescent="0.25">
      <c r="A171" s="18"/>
    </row>
    <row r="172" spans="1:1" ht="27.75" customHeight="1" x14ac:dyDescent="0.25">
      <c r="A172" s="18"/>
    </row>
    <row r="173" spans="1:1" ht="15.75" customHeight="1" x14ac:dyDescent="0.25">
      <c r="A173" s="18"/>
    </row>
    <row r="174" spans="1:1" ht="15.75" customHeight="1" x14ac:dyDescent="0.25">
      <c r="A174" s="18"/>
    </row>
    <row r="175" spans="1:1" ht="15.75" customHeight="1" x14ac:dyDescent="0.25">
      <c r="A175" s="18"/>
    </row>
    <row r="176" spans="1:1" ht="15.75" customHeight="1" x14ac:dyDescent="0.25">
      <c r="A176" s="18"/>
    </row>
    <row r="177" spans="1:1" ht="15.75" customHeight="1" x14ac:dyDescent="0.25">
      <c r="A177" s="18"/>
    </row>
    <row r="178" spans="1:1" ht="15.75" customHeight="1" x14ac:dyDescent="0.25">
      <c r="A178" s="18"/>
    </row>
    <row r="179" spans="1:1" ht="15.75" customHeight="1" x14ac:dyDescent="0.25">
      <c r="A179" s="18"/>
    </row>
    <row r="180" spans="1:1" ht="15.75" customHeight="1" x14ac:dyDescent="0.25">
      <c r="A180" s="18"/>
    </row>
    <row r="181" spans="1:1" ht="15.75" customHeight="1" x14ac:dyDescent="0.25">
      <c r="A181" s="18"/>
    </row>
    <row r="182" spans="1:1" ht="15.75" customHeight="1" x14ac:dyDescent="0.25">
      <c r="A182" s="18"/>
    </row>
    <row r="183" spans="1:1" ht="15.75" customHeight="1" x14ac:dyDescent="0.25">
      <c r="A183" s="18"/>
    </row>
    <row r="184" spans="1:1" ht="15.75" customHeight="1" x14ac:dyDescent="0.25">
      <c r="A184" s="18"/>
    </row>
    <row r="185" spans="1:1" ht="15.75" customHeight="1" x14ac:dyDescent="0.25">
      <c r="A185" s="18"/>
    </row>
    <row r="186" spans="1:1" ht="15.75" customHeight="1" x14ac:dyDescent="0.25">
      <c r="A186" s="18"/>
    </row>
    <row r="187" spans="1:1" ht="15.75" customHeight="1" x14ac:dyDescent="0.25">
      <c r="A187" s="18"/>
    </row>
    <row r="188" spans="1:1" ht="15.75" customHeight="1" x14ac:dyDescent="0.25">
      <c r="A188" s="18"/>
    </row>
    <row r="189" spans="1:1" ht="15.75" customHeight="1" x14ac:dyDescent="0.25">
      <c r="A189" s="18"/>
    </row>
    <row r="190" spans="1:1" ht="15.75" customHeight="1" x14ac:dyDescent="0.25">
      <c r="A190" s="18"/>
    </row>
    <row r="191" spans="1:1" ht="15.75" customHeight="1" x14ac:dyDescent="0.25">
      <c r="A191" s="18"/>
    </row>
    <row r="192" spans="1:1" ht="15.75" customHeight="1" x14ac:dyDescent="0.25"/>
    <row r="193" spans="1:1" ht="15.75" customHeight="1" x14ac:dyDescent="0.25"/>
    <row r="194" spans="1:1" ht="15.75" customHeight="1" x14ac:dyDescent="0.25">
      <c r="A194" s="18"/>
    </row>
    <row r="195" spans="1:1" ht="30" customHeight="1" x14ac:dyDescent="0.25">
      <c r="A195" s="18"/>
    </row>
    <row r="196" spans="1:1" ht="15.75" customHeight="1" x14ac:dyDescent="0.25">
      <c r="A196" s="18"/>
    </row>
    <row r="197" spans="1:1" ht="15.75" customHeight="1" x14ac:dyDescent="0.25">
      <c r="A197" s="18"/>
    </row>
    <row r="198" spans="1:1" ht="15.75" customHeight="1" x14ac:dyDescent="0.25">
      <c r="A198" s="18"/>
    </row>
    <row r="199" spans="1:1" ht="15.75" customHeight="1" x14ac:dyDescent="0.25">
      <c r="A199" s="18"/>
    </row>
    <row r="200" spans="1:1" ht="15.75" customHeight="1" x14ac:dyDescent="0.25">
      <c r="A200" s="18"/>
    </row>
    <row r="201" spans="1:1" ht="15.75" customHeight="1" x14ac:dyDescent="0.25">
      <c r="A201" s="18"/>
    </row>
    <row r="202" spans="1:1" ht="15.75" customHeight="1" x14ac:dyDescent="0.25">
      <c r="A202" s="18"/>
    </row>
    <row r="203" spans="1:1" ht="15.75" customHeight="1" x14ac:dyDescent="0.25">
      <c r="A203" s="18"/>
    </row>
    <row r="204" spans="1:1" ht="15.75" customHeight="1" x14ac:dyDescent="0.25">
      <c r="A204" s="18"/>
    </row>
    <row r="205" spans="1:1" ht="15.75" customHeight="1" x14ac:dyDescent="0.25">
      <c r="A205" s="18"/>
    </row>
    <row r="206" spans="1:1" ht="15.75" customHeight="1" x14ac:dyDescent="0.25">
      <c r="A206" s="18"/>
    </row>
    <row r="207" spans="1:1" ht="15.75" customHeight="1" x14ac:dyDescent="0.25">
      <c r="A207" s="18"/>
    </row>
    <row r="208" spans="1:1" ht="15.75" customHeight="1" x14ac:dyDescent="0.25">
      <c r="A208" s="18"/>
    </row>
    <row r="209" spans="1:1" ht="15.75" customHeight="1" x14ac:dyDescent="0.25">
      <c r="A209" s="18"/>
    </row>
    <row r="210" spans="1:1" ht="15.75" customHeight="1" x14ac:dyDescent="0.25">
      <c r="A210" s="18"/>
    </row>
    <row r="211" spans="1:1" ht="15.75" customHeight="1" x14ac:dyDescent="0.25">
      <c r="A211" s="18"/>
    </row>
    <row r="212" spans="1:1" ht="15.75" customHeight="1" x14ac:dyDescent="0.25">
      <c r="A212" s="18"/>
    </row>
    <row r="213" spans="1:1" ht="15.75" customHeight="1" x14ac:dyDescent="0.25">
      <c r="A213" s="18"/>
    </row>
    <row r="214" spans="1:1" ht="15.75" customHeight="1" x14ac:dyDescent="0.25">
      <c r="A214" s="18"/>
    </row>
    <row r="215" spans="1:1" ht="15.75" customHeight="1" x14ac:dyDescent="0.25"/>
    <row r="216" spans="1:1" ht="15.75" customHeight="1" x14ac:dyDescent="0.25"/>
    <row r="217" spans="1:1" ht="15.75" customHeight="1" x14ac:dyDescent="0.25">
      <c r="A217" s="18"/>
    </row>
    <row r="218" spans="1:1" ht="15.75" customHeight="1" x14ac:dyDescent="0.25">
      <c r="A218" s="18"/>
    </row>
    <row r="219" spans="1:1" ht="15.75" customHeight="1" x14ac:dyDescent="0.25">
      <c r="A219" s="18"/>
    </row>
    <row r="220" spans="1:1" ht="15.75" customHeight="1" x14ac:dyDescent="0.25">
      <c r="A220" s="18"/>
    </row>
    <row r="221" spans="1:1" ht="15.75" customHeight="1" x14ac:dyDescent="0.25">
      <c r="A221" s="18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1">
    <mergeCell ref="L14:L16"/>
    <mergeCell ref="M14:O16"/>
    <mergeCell ref="E18:O19"/>
    <mergeCell ref="E11:F11"/>
    <mergeCell ref="E12:F12"/>
    <mergeCell ref="C14:C16"/>
    <mergeCell ref="C18:D19"/>
    <mergeCell ref="C21:D23"/>
    <mergeCell ref="E21:H23"/>
    <mergeCell ref="B6:P6"/>
    <mergeCell ref="E9:F9"/>
    <mergeCell ref="H9:I9"/>
    <mergeCell ref="E10:F10"/>
    <mergeCell ref="H10:I10"/>
    <mergeCell ref="J21:K23"/>
    <mergeCell ref="L21:O23"/>
    <mergeCell ref="H11:I11"/>
    <mergeCell ref="H12:I12"/>
    <mergeCell ref="D14:E16"/>
    <mergeCell ref="G14:G16"/>
    <mergeCell ref="H14:J16"/>
  </mergeCells>
  <conditionalFormatting sqref="H10:I1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JoshPC</dc:creator>
  <cp:lastModifiedBy>JUSTIN JOSHUA VILLARROEL BARRENO</cp:lastModifiedBy>
  <dcterms:created xsi:type="dcterms:W3CDTF">2026-06-13T03:26:48Z</dcterms:created>
  <dcterms:modified xsi:type="dcterms:W3CDTF">2026-06-16T16:01:17Z</dcterms:modified>
</cp:coreProperties>
</file>